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_responses" sheetId="1" r:id="rId5"/>
    <sheet state="visible" name="Form_responses_old" sheetId="2" r:id="rId6"/>
    <sheet state="visible" name="BETH" sheetId="3" r:id="rId7"/>
    <sheet state="visible" name="BOIS" sheetId="4" r:id="rId8"/>
    <sheet state="visible" name="CHAN" sheetId="5" r:id="rId9"/>
    <sheet state="visible" name="ELYS" sheetId="6" r:id="rId10"/>
    <sheet state="visible" name="GEOP" sheetId="7" r:id="rId11"/>
    <sheet state="visible" name="GRVN" sheetId="8" r:id="rId12"/>
    <sheet state="visible" name="LEXP" sheetId="9" r:id="rId13"/>
    <sheet state="visible" name="PONT" sheetId="10" r:id="rId14"/>
    <sheet state="visible" name="RIPR" sheetId="11" r:id="rId15"/>
    <sheet state="visible" name="ROUV" sheetId="12" r:id="rId16"/>
    <sheet state="visible" name="VCLB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2">
      <text>
        <t xml:space="preserve">Responder updated this value.</t>
      </text>
    </comment>
    <comment authorId="0" ref="E140">
      <text>
        <t xml:space="preserve">Responder updated this value.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0">
      <text>
        <t xml:space="preserve">Responder updated this value.</t>
      </text>
    </comment>
    <comment authorId="0" ref="E97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<sst xmlns="http://schemas.openxmlformats.org/spreadsheetml/2006/main" count="1798" uniqueCount="324">
  <si>
    <t>Horodateur</t>
  </si>
  <si>
    <t>Station ID</t>
  </si>
  <si>
    <t>Name of person</t>
  </si>
  <si>
    <t>Type of maintenance</t>
  </si>
  <si>
    <t>Comments</t>
  </si>
  <si>
    <t>BETH</t>
  </si>
  <si>
    <t>Floreana</t>
  </si>
  <si>
    <t>New installation, Logger replacement</t>
  </si>
  <si>
    <t>New Pluvimate logger, programmed to start logging on 30.11.2022 at 00:00UTC</t>
  </si>
  <si>
    <t>Data download</t>
  </si>
  <si>
    <t xml:space="preserve">Data download, rescheduled to start logging at 14:45 UTC </t>
  </si>
  <si>
    <t>Data download, rescheduled to start logging at 14:00UTC</t>
  </si>
  <si>
    <t>Data download, Logger replacement</t>
  </si>
  <si>
    <t>Data download - only 0 values despite rain! Perhaps not correctly placed unter funnel? Replaced logger and removed metal sponge - new logger BETH2 start logging at 13:30 UTC</t>
  </si>
  <si>
    <t>Rescheduled logging for 12:30UTC</t>
  </si>
  <si>
    <t>Dan</t>
  </si>
  <si>
    <t xml:space="preserve">Nearly only 0 valeurs, certainly due to the tube not straight, tried to make it stay straight </t>
  </si>
  <si>
    <t>Data download, restarted logger for 8:45 UTC
Placed the PVC tube better</t>
  </si>
  <si>
    <t>New installation, Data download</t>
  </si>
  <si>
    <t xml:space="preserve">Started the new omega installation at 8:30 UTC, downloaded data from previous pluvimate </t>
  </si>
  <si>
    <t>Logger replacement</t>
  </si>
  <si>
    <t>Logger not responding, return to office, replaced by simple system. Logging restarted for 12:45 UTC</t>
  </si>
  <si>
    <t>Data download, Repair / Cleaning</t>
  </si>
  <si>
    <t>Battery dead, will order new battery. Data retrieved</t>
  </si>
  <si>
    <t>Long-term logger with changed powering system installed. Logging started at 15:00 UTC</t>
  </si>
  <si>
    <t>Logger replacement, Repair / Cleaning</t>
  </si>
  <si>
    <t>Logger improvement.data downloaded before change: only 0 values since last week, because of bad cable. Will not upload the data to server.</t>
  </si>
  <si>
    <t>Replaced system with simple pluvimate, starting at 12:15UTC. Returning system to office for repair and datadownload</t>
  </si>
  <si>
    <t>Manual data download at office after battery found empty in field. Only zero values! Logger not working?</t>
  </si>
  <si>
    <t>Logging restarted for 09:45UTC</t>
  </si>
  <si>
    <t>New installation, Data download, Logger replacement</t>
  </si>
  <si>
    <t>LoRa system installed and counter cleared. Starting at approx. 09:28 UTC</t>
  </si>
  <si>
    <t>Repair / Cleaning</t>
  </si>
  <si>
    <t>Refitted cables, restarted station. 08:42UTC</t>
  </si>
  <si>
    <t>New installation, Repair / Cleaning</t>
  </si>
  <si>
    <t>Placed additional old sensor, logging starting 10:00UTC. Restarted LoRa system, no network at the moment, funnel is missing calibration piece!!</t>
  </si>
  <si>
    <t>Charlotte and Haris</t>
  </si>
  <si>
    <t>New installation, Data download, Reboot</t>
  </si>
  <si>
    <t>Installed the LoRa one and downloaded the data from the old system and rebooted it</t>
  </si>
  <si>
    <t>BOIS</t>
  </si>
  <si>
    <t>new logging program</t>
  </si>
  <si>
    <t>installation was delayed, so restarted logging to 08.12.2022 at 00:00UTC</t>
  </si>
  <si>
    <t>Aurélien</t>
  </si>
  <si>
    <t>New installation</t>
  </si>
  <si>
    <t>New Pluvimate placed in tube.</t>
  </si>
  <si>
    <t>E31
Data download and rescheduled logging to 13:00 UTC</t>
  </si>
  <si>
    <t>replacement of the pluvimate datalogger by a system consisting of a pluvimate sensor and a radiologger, offline capacity 231 days with sampling at 3 minutes</t>
  </si>
  <si>
    <t>Omega datalogger started at 7:45UTC</t>
  </si>
  <si>
    <t xml:space="preserve">Radio logger back to office, (replacement on the field by Omega datalogger), data downloaded from office </t>
  </si>
  <si>
    <t>Sensor / tube fallen over upon arrival. No data after early May (battery dead?). Changed powering system. Logging restarted 07:45 UTC</t>
  </si>
  <si>
    <t>New wiring system. Logging restarted for 07:45UTC</t>
  </si>
  <si>
    <t xml:space="preserve">Battery at 2V, no response from logger. Replaced system, started logging at 6:30UTC. Taking old logger to office for repair and data download </t>
  </si>
  <si>
    <t>manual data download at office, after battery was found empty in the field. data missing since mid December 2024</t>
  </si>
  <si>
    <t>Replaced logger with simple pluvimate, logging starting at 06:45UTC</t>
  </si>
  <si>
    <t>Old logger returned to office for data download. Failed on 17 April</t>
  </si>
  <si>
    <t>Logging restarted for 06:30UTC</t>
  </si>
  <si>
    <t>New LoRa system installed at approx 05:40 UTC</t>
  </si>
  <si>
    <t>count since last installation has remained at 0 -&gt; refitted cable and reactivated system. Testing count (working now). Reset counter to 0 at 06:45UTC</t>
  </si>
  <si>
    <t xml:space="preserve">reconnected to LoRa network </t>
  </si>
  <si>
    <t xml:space="preserve">Station has picked up signal from gateway installed at ROUV at around 16:20UTC. </t>
  </si>
  <si>
    <t>CHAN</t>
  </si>
  <si>
    <t>Data download, rescheduled to start logging at 14:15 UTC</t>
  </si>
  <si>
    <t>Data download; rescheduled to start logging at 13:45UTC</t>
  </si>
  <si>
    <t>Restart logging at 14:15 UTC</t>
  </si>
  <si>
    <t>New logger CHAN2, scheduled to start logging at 13:30UTC</t>
  </si>
  <si>
    <t>No data for the last rain, maybe the instalation is not straight enough, restarted at 7:45</t>
  </si>
  <si>
    <t>Changed logger because only values of 0 or 1 count, certainly a problem with the logger. Started logging with new logger at 11:15 UTC</t>
  </si>
  <si>
    <t xml:space="preserve">Changed to the new omega sensor, started it at 10:00 UTC. Downloaded data from pluvimate </t>
  </si>
  <si>
    <t>Solar Panel in bad state. Restarted logging to 11:00 UTC</t>
  </si>
  <si>
    <t>No data since last installation. Returned logger to office for improvement. Replaced by simple pluvimate in the meantime, logging restarted for 15:45 UTC</t>
  </si>
  <si>
    <t>Replaced simple logger with functioning solar powered system. Logging restarted for 11:00UTC</t>
  </si>
  <si>
    <t xml:space="preserve">Replaced system with simple pluvimate starting at 14:00UTC. Returning system to office for repair and data download </t>
  </si>
  <si>
    <t>Manual data download at office after battery found empty in field. No data after mid December 2024</t>
  </si>
  <si>
    <t>Data missing because logger not accessible (concierge absent). NB! Wasp nest and many snails inside tube and on sensor. Will replace tube. Sensor paused.</t>
  </si>
  <si>
    <t>Replaced tube, placed on a higher elevated pole, logger restarting at 08:15UTC</t>
  </si>
  <si>
    <t>LoRa system installed, started at approx 11:35 UTC</t>
  </si>
  <si>
    <t xml:space="preserve">rebooting </t>
  </si>
  <si>
    <t>Logger wasn't connected to LoRa, revisited today and rebooted. Now working</t>
  </si>
  <si>
    <t>Refitted cable connection at around 07:30-07:45UTC</t>
  </si>
  <si>
    <t>ELYS</t>
  </si>
  <si>
    <t>Placed new Pluvimate logger, scheduled to start recording at 00:00 UTC on 30.11.2022</t>
  </si>
  <si>
    <t>Data download. Rescheduled logging to start at 13:45 UTC</t>
  </si>
  <si>
    <t>Data download, rescheduled to start logging at 13:15UTC</t>
  </si>
  <si>
    <t>Restarted logging at 14:30 UTC</t>
  </si>
  <si>
    <t>New logging at 14:00UTC</t>
  </si>
  <si>
    <t>Restarted for 10:30 UTC</t>
  </si>
  <si>
    <t>Downloaded the data, restarted logger at 9:15 UTC</t>
  </si>
  <si>
    <t>Changed installation, now with Omega installation, started recording at 9:30 UTC, downloaded data from pluvimate</t>
  </si>
  <si>
    <t>New powering system. + Cable of main Batterie was detached, fixed with tape. Logging restarted for 10:45UTC</t>
  </si>
  <si>
    <t>Battery replacement, Repair / Cleaning</t>
  </si>
  <si>
    <t>System replacement, battery replacement.logging restarted for 10:15UTC</t>
  </si>
  <si>
    <t>Replaced system with simple pluvimate starting at 13:15UTC. Returning system to office for repair and data download.</t>
  </si>
  <si>
    <t>troubleshooting</t>
  </si>
  <si>
    <t>No data download possible. Logger not responding?</t>
  </si>
  <si>
    <t>Logging restarted for 11:45UTC</t>
  </si>
  <si>
    <t>LoRa system installed, starting at approx 12:00UTC</t>
  </si>
  <si>
    <t>Count had been at 0. Refitted cable, performed test, then reset count to 0 at 12:45 UTC</t>
  </si>
  <si>
    <t>GEOP</t>
  </si>
  <si>
    <t>Logger programming</t>
  </si>
  <si>
    <t>Programmed logger to 2min interval, starting 11.11.2022 at 00:00 UTC</t>
  </si>
  <si>
    <t>Placed new Pluvimate in already installed tube on Géopolis roof - NB two tubes present, Pluvimate is in the one that is closer to the building door.</t>
  </si>
  <si>
    <t xml:space="preserve">Logger removed from tube at 14:30 Lausanne time for data download (NB false impact registered during download!) </t>
  </si>
  <si>
    <t>Logger placement after data download</t>
  </si>
  <si>
    <t>Retourned logger back in tube at 15:41 Lausanne time</t>
  </si>
  <si>
    <t>Data download and rescheduled logging to 15:00 UTC, NB, previous logging interval was accidentially set to 2 minutes, now ocrrected to 3 minutes</t>
  </si>
  <si>
    <t>Data download, logging scheduled to start again at 14:45 UTC</t>
  </si>
  <si>
    <t>RAS</t>
  </si>
  <si>
    <t>RAS, data downloaded</t>
  </si>
  <si>
    <t>Restarted logging at 10:15 UTC</t>
  </si>
  <si>
    <t>Logging restarted for 10:45 UTC</t>
  </si>
  <si>
    <t>Restarted logger at 9:15 UTC</t>
  </si>
  <si>
    <t>Restarted Logging at 14:30 UTC with system OMEGA</t>
  </si>
  <si>
    <t>Data download and changed the system to the old one (need to recover the data every 60 days). Started the logger at 9:30 UTC</t>
  </si>
  <si>
    <t>data download - unfortunately data missing since end of June due to miscommunication. Restarted logging at 08:30 UTC</t>
  </si>
  <si>
    <t>Logging restarted at 14:00UTC</t>
  </si>
  <si>
    <t>restarted logging at 12:15UTC</t>
  </si>
  <si>
    <t>Restarted logging 10:30UTC</t>
  </si>
  <si>
    <t>placed simple pluvimate in tube, logging starting at 11:00UTC</t>
  </si>
  <si>
    <t>Logging restarted at 13:30 UTC</t>
  </si>
  <si>
    <t>Installation of new LoRa system. Started at 11:30 UTC, logging interval 3minutes. Test! Running old pluvimate in parallel</t>
  </si>
  <si>
    <t>restarting</t>
  </si>
  <si>
    <t>Restarting node at 12:00UTCbto resolve network problem (no data was sent/node deactivated)</t>
  </si>
  <si>
    <t>reboot</t>
  </si>
  <si>
    <t>Noticed logging had stopped since 25.11.2025. restarting node at around 16:45 UTC</t>
  </si>
  <si>
    <t>retrieved logger and data from September, installe new simple pluvimate, logging starting at 09:15 UTC, treid to reboot LoRa but no response</t>
  </si>
  <si>
    <t>Haris</t>
  </si>
  <si>
    <t>tried to reboot the LoRa system again, no success, installed simple pluvimate (11 Dec 2025)</t>
  </si>
  <si>
    <t>Charlotte</t>
  </si>
  <si>
    <t>Data download and logger reprogramming. New start at 10:30 UTC</t>
  </si>
  <si>
    <t>Reboot</t>
  </si>
  <si>
    <t>Rebooted LoRa system, changed spreading factor to 12, and disabled ADR and rejoin mode.</t>
  </si>
  <si>
    <t>GRVN</t>
  </si>
  <si>
    <t>Logger setup</t>
  </si>
  <si>
    <t>Programmed logger to 3min interval, starting 09.11.2022 at 00:00 UTC</t>
  </si>
  <si>
    <t xml:space="preserve">New installation, Pluvimate </t>
  </si>
  <si>
    <t>New Pluvimate placed in tube. Next visit bring flat head screw.</t>
  </si>
  <si>
    <t>Data download and rescheduled logging to 15:15 UTC</t>
  </si>
  <si>
    <t>Data download and logger reprogamming. New start at 13:30 UTC</t>
  </si>
  <si>
    <t>Start at 16:00 the 08/06/2023 but installed the 09/06/2023 at 10:30</t>
  </si>
  <si>
    <t>Data download, logging restarted at 8:00 utc</t>
  </si>
  <si>
    <t>Data downloaded, logger restarted for 12:00 UTC</t>
  </si>
  <si>
    <t>D15
Changed installation, now with Omega installation, started recording at 14:00 UTC, downloaded data from pluvimate</t>
  </si>
  <si>
    <t>Changed powering system Logging restarted 08:45UTC</t>
  </si>
  <si>
    <t xml:space="preserve">New wiring system. Logging restarted for 08:30 UTC </t>
  </si>
  <si>
    <t>Replaced system with simple logger. Starting 9:00UTC. Returning system for data download to office</t>
  </si>
  <si>
    <t>Logging restarted for 08:00UTC</t>
  </si>
  <si>
    <t xml:space="preserve">LoRa system installed and counter cleared, starting at approx. 08:41 UTC </t>
  </si>
  <si>
    <t>Refitted cable connection 08:30-08:40UTC</t>
  </si>
  <si>
    <t>At 09:35UTC maintenance visit as data was strange (no new impacts even during heavy rains), seems like funnel was clogged - removed metal sponge and cleaned funnel. Now working properly . NB- remove impacts between 10:35 and 10:55 UTC from data set!</t>
  </si>
  <si>
    <t>Installed manual sensor, bringing LoRA installation and sensor home</t>
  </si>
  <si>
    <t>LEXP</t>
  </si>
  <si>
    <t>Replaced Big Drip with Pluvimate. Logging interval set to 5 min, starting at 00:00 on 28.10.2022, UTC</t>
  </si>
  <si>
    <t>Data download, new logging interval</t>
  </si>
  <si>
    <t>Data downloaded, then changed logging interval to 3 minutes, restarting logging at 11h UTC</t>
  </si>
  <si>
    <t>Data download and rescheduled logging to 15:30 UTC</t>
  </si>
  <si>
    <t>Last data from 27/03/2023</t>
  </si>
  <si>
    <t>Data download, logging restarted at 08:30 UTC</t>
  </si>
  <si>
    <t>schedules to restart logging at 12:00 UTC</t>
  </si>
  <si>
    <t>New logging starting at 08:30 UTC</t>
  </si>
  <si>
    <t>Data download and sensor cleaning. Rescheduled to start logging at 09:30 UTC</t>
  </si>
  <si>
    <t>Data download; scheduled to restart logging at 08:45 UTC</t>
  </si>
  <si>
    <t>Data download, redid bird repellant "crown", rescheduled to start logging at 10:15 UTC</t>
  </si>
  <si>
    <t>Installed the new Omega system, started the logging at 12:30 UTC</t>
  </si>
  <si>
    <t>Solar panel cable a bit broken, needs repair soon. Logging restarted at 12:30 UTC</t>
  </si>
  <si>
    <t>Data download, Battery replacement, Repair / Cleaning</t>
  </si>
  <si>
    <t>Data downloaded NOT VALID because battery of sensor empty! Replaced battery, reprogrammed to start logging at 09:45 UTC. NB!! Sensor cable broken, needs replacement!!!!</t>
  </si>
  <si>
    <t xml:space="preserve">deinstallation for repair </t>
  </si>
  <si>
    <t>Both solar panel cables and sensor cables broken (bird impact?) - battery completely empty, no response from logger. Returning system to office for repair and data backup</t>
  </si>
  <si>
    <t>Manual data download at office after battery found empty in field. No data after end of December 2024</t>
  </si>
  <si>
    <t>Logging restating at 10:00 UTC</t>
  </si>
  <si>
    <t>LoRa installed, count cleared at 09:10 UTC</t>
  </si>
  <si>
    <t>PONT</t>
  </si>
  <si>
    <t>Put new Pluvimate in tube. Not ideal for radio connection (too visible, close to cars?)</t>
  </si>
  <si>
    <t>Restart of logging at 13:52 UTC</t>
  </si>
  <si>
    <t>Data download and logger reprogamming. New start at 14:30 UTC</t>
  </si>
  <si>
    <t>Gap in data since 3/06</t>
  </si>
  <si>
    <t xml:space="preserve">replacement of the pluvimate datalogger by a system consisting of a pluvimate sensor and a radiologger, offline capacity 231 days with sampling at 3 minutes
</t>
  </si>
  <si>
    <t>Installed an Omega data logger, started it at 8:45 UTC</t>
  </si>
  <si>
    <t>Solar panel in bad state, only zero values since last installation??? logging restarted for 13:45 UTC</t>
  </si>
  <si>
    <t>No data since last check. Improved system. Logging restarted at 13:30UTC</t>
  </si>
  <si>
    <t xml:space="preserve">Box completely filled with water. Replaced logger with simple pluvimate. </t>
  </si>
  <si>
    <t>Logging restarted for 06:45UTC</t>
  </si>
  <si>
    <t>LoRa system installed, count cleared at around 06:30UTC</t>
  </si>
  <si>
    <t>count since last installation has remained at 0 -&gt; refitted cable. Testing count (working now). Reset counter to 0 at 07:15UTC</t>
  </si>
  <si>
    <t xml:space="preserve">Station has picked up signal from gateway installed at ROUV at around 13:39UTC. </t>
  </si>
  <si>
    <t>Cable found cut! repair and maintenance performed between approx. 07:00 and 07:55UTC. Now working and sending data to gateway</t>
  </si>
  <si>
    <t>Funnel clogged, cleaned at around 10:20UTC</t>
  </si>
  <si>
    <t>RIPR</t>
  </si>
  <si>
    <t>New Pluvimate placed in tube. No funnel! Need replacement soon!</t>
  </si>
  <si>
    <t>Installation of the Funnel that was missing</t>
  </si>
  <si>
    <t>Restart of logging at 15:00 UTC</t>
  </si>
  <si>
    <t>Data download and logger reprogamming. New start at 14:00 UTC</t>
  </si>
  <si>
    <t>New logging starting at 14:00 UTC</t>
  </si>
  <si>
    <t>Logger restarted at 12:30 UTC</t>
  </si>
  <si>
    <t>Logging restarted at 9:00 UTC</t>
  </si>
  <si>
    <t xml:space="preserve">Changed logger, now Omega logger installed, started the logging at 12:00 UTC, downloaded data from the pluvimate </t>
  </si>
  <si>
    <t>No response from logger, return to office. Replacement with old pluvimate</t>
  </si>
  <si>
    <t>Replaced with long term logger with new powering system. Logging restarted for 09:30 UTC</t>
  </si>
  <si>
    <t>Water in logger box! But still functioning. New wiring system. Logging restarted for 09:30UTC</t>
  </si>
  <si>
    <t>Replaced system with simple pluvimate. Returning system to office for improvement and data download</t>
  </si>
  <si>
    <t xml:space="preserve">Replaced system with simple pluvimate, logging starting at 09:30UTC. Returning system to office for repair and data download </t>
  </si>
  <si>
    <t>Funnel slightly covered in bird poop (not clogged). Logging restarted for 08:30UTC</t>
  </si>
  <si>
    <t>Installed LoRa system, starting at 11:40 UTC</t>
  </si>
  <si>
    <t>Count had stayed at 0. Refitted cable, performed test, then reset count to 0 at 14:42UTC</t>
  </si>
  <si>
    <t>ROUV</t>
  </si>
  <si>
    <t xml:space="preserve">Replaced Big Drip with Pluvimate. Missing screw on funnel </t>
  </si>
  <si>
    <t>Restart of logging at 13:30 UTC, next download correct +00:03!</t>
  </si>
  <si>
    <t>Data download. Reprogrammed Logger to start at 15:00UTC</t>
  </si>
  <si>
    <t>Installed the new Omega datalogger, started it at 9:15 UTC</t>
  </si>
  <si>
    <t>Logger not responding. Pluvimates was vertically in tube. Returning all equipment to office for troubleshooting. No replacement logger installed</t>
  </si>
  <si>
    <t>Connection problems solved?? Data retrieved. Data needs to be checked, because logger was vertically in tube!!</t>
  </si>
  <si>
    <t>Reinstalled, logging starting at 09:00UTC</t>
  </si>
  <si>
    <t>New wiring setup, logger connected to big battery. Logging restarted for 14:30UTC</t>
  </si>
  <si>
    <t>New wiring setup, logger connected to big battery. Logging restarted for 14:30UTC 04.12.24</t>
  </si>
  <si>
    <t>Battery at 2V. Returned system to office.</t>
  </si>
  <si>
    <t xml:space="preserve">Replaced system with simple pluvimate, logging starting at 10:00UTC. Returning system to office for repair and data download </t>
  </si>
  <si>
    <t>Logging restarted for 07:30UTC</t>
  </si>
  <si>
    <t>LoRa system installed, started at approx 07:00 UTC</t>
  </si>
  <si>
    <t>Count had been at 0. Refitted cable, performed test, then reset count to 0 at 13:33UTC</t>
  </si>
  <si>
    <t>Installed gateway on same roof, cable powered from plug inside cabin on flat roof. Pluvimate now connected to LoRa network and sending data since 13:03UTC. Will need to check if other nearby stations (PONT, BOIS) can be linked to this gateway toi</t>
  </si>
  <si>
    <t>Installed old system additionally, logging starting at 09:15UTC, checked LoRa system, seems to be running, impacts are detected.</t>
  </si>
  <si>
    <t>VCLB</t>
  </si>
  <si>
    <t>Installed at 9:30 on the roof of the building close to the sport field</t>
  </si>
  <si>
    <t>Data download and rescheduled logging to 7:45 UTC</t>
  </si>
  <si>
    <t>Check of the sensor</t>
  </si>
  <si>
    <t>Sensor was upside-down, no data could be collected. Was placed in right position at around 8:45 UTC</t>
  </si>
  <si>
    <t>Changed to the old system with only the logger, started the logging at 9:45 UTC</t>
  </si>
  <si>
    <t>Logger not responding -&gt; returned to office. Normal pluvimate placed as replacement. Logging started at 14:15 UTC</t>
  </si>
  <si>
    <t>Data download, Battery replacement</t>
  </si>
  <si>
    <t>Data recovered at office. Change system - problem was that logger wouldn't work if battery is at &lt; 4V</t>
  </si>
  <si>
    <t>Logger replaced with new system. Logging restarted for 14:00UTC</t>
  </si>
  <si>
    <t>Changed wiring system. No data since last installation. Logging restarted for 15:00UTC</t>
  </si>
  <si>
    <t xml:space="preserve">Replaced system with simple logger starting at 08:15UTC. Returning system to office for repair and data download </t>
  </si>
  <si>
    <t>manual data download at office, after battery was found empty in the field. data missing since mid January 2025 and only zeros. Sensor not working?</t>
  </si>
  <si>
    <t>Restarted 08:15UTC</t>
  </si>
  <si>
    <t>LoRa system installed, counter cleared, starting at approx 07:40 UTC</t>
  </si>
  <si>
    <t>stopped logger</t>
  </si>
  <si>
    <t>System seems to have a problem. Stopped and returned to office for check</t>
  </si>
  <si>
    <t xml:space="preserve">Reinstalled kit with LoRa after rewiring at office. Restarting at 07:30UTC but no network activation yet. Very cloudy day may delay activation. </t>
  </si>
  <si>
    <t>New installation, restart LoRa system</t>
  </si>
  <si>
    <t>placed old system in addition to LoRa system, started logging at 08:15UTC, restarted LoRa system</t>
  </si>
  <si>
    <t>Haris and Charlotte</t>
  </si>
  <si>
    <t>Installed the solar panel and downloaded the data from the manual one and rebooted it</t>
  </si>
  <si>
    <t>New installation, Data download, Logger replacement, Reboot</t>
  </si>
  <si>
    <t>Replaced old system with LoRa system after repair. Reboot and reconnected to server at 07:40 UTC</t>
  </si>
  <si>
    <t>Data download, Repair/Cleaning</t>
  </si>
  <si>
    <t>Sensor of LoRa system was upsite down. Downloaded data from old pluvimate and restarted logging at 08:30UTC</t>
  </si>
  <si>
    <t>New installation, Repair/Cleaning</t>
  </si>
  <si>
    <t>LoRa system checked because the data has been weak (not much rain?), installed old system as backup, started logging at 09:15UTC</t>
  </si>
  <si>
    <t xml:space="preserve">Download data from old system. Restart logging at 13:45 UTC + 1. Be Careful, it is not UTC but UTC +1 (not swiss summer time). </t>
  </si>
  <si>
    <t xml:space="preserve">Download data from old system. Restart logging at 13:00 UTC  + 1. Be Careful, it is not UTC but UTC +1 (not swiss summer time). LoRa Pluvimate was tilted. I straightened it up and secured it with gravel. </t>
  </si>
  <si>
    <t>Data downloaded from back up old system (data until 21 February), then restarted logging for 09:15UTC</t>
  </si>
  <si>
    <t>Timestamp</t>
  </si>
  <si>
    <t>Béthusy (nouveau bât. E)</t>
  </si>
  <si>
    <t>Contact</t>
  </si>
  <si>
    <t>Béthusy</t>
  </si>
  <si>
    <t>M. Matic</t>
  </si>
  <si>
    <t>Collège de Béthusy</t>
  </si>
  <si>
    <t>Tél 0213154731</t>
  </si>
  <si>
    <t>Av. de Béthusy 7, 1005 Lausanne</t>
  </si>
  <si>
    <t>Mob 0797909948</t>
  </si>
  <si>
    <t>LOGBOOK</t>
  </si>
  <si>
    <t>Bois-Gentil pavillon</t>
  </si>
  <si>
    <t>Pierrefleur</t>
  </si>
  <si>
    <t>M. Lopes Pereira</t>
  </si>
  <si>
    <t>Collège du Bois-Gentil</t>
  </si>
  <si>
    <t>Tél 0213154693</t>
  </si>
  <si>
    <t>Ch. du Bois-Gentil 7, 1018 Lausanne</t>
  </si>
  <si>
    <t>Mob 0797909469</t>
  </si>
  <si>
    <t>Chandieu</t>
  </si>
  <si>
    <t>Mon-Repos</t>
  </si>
  <si>
    <t>M. de Oliveira</t>
  </si>
  <si>
    <t>Pavillon scolaire de Chandieu</t>
  </si>
  <si>
    <t>Tél 0213156017</t>
  </si>
  <si>
    <t>Ch. de Chandieu 23, 1006 Lausanne</t>
  </si>
  <si>
    <t>Mob 0797909615</t>
  </si>
  <si>
    <t>Elysée (aula)</t>
  </si>
  <si>
    <t>Elysée</t>
  </si>
  <si>
    <t>M. Chassot</t>
  </si>
  <si>
    <t>Collège de l'Elysée</t>
  </si>
  <si>
    <t>Tél 0213156651</t>
  </si>
  <si>
    <t>Av. de l'Elysée 6, 1006 Lausanne</t>
  </si>
  <si>
    <t>Mob 0797909355</t>
  </si>
  <si>
    <t>Géopolis</t>
  </si>
  <si>
    <t>Chavannes-près-Renens</t>
  </si>
  <si>
    <t>Grégoire Mariethoz</t>
  </si>
  <si>
    <t>Bâtiment Géopolis Quartier Mouline</t>
  </si>
  <si>
    <t>Université de Lausanne, 1015 Lausanne</t>
  </si>
  <si>
    <t>Grand-Vennes (bât.princ. A)</t>
  </si>
  <si>
    <t>I.-de-Montolieu</t>
  </si>
  <si>
    <t>M. Gecici</t>
  </si>
  <si>
    <t>Collège de Grand-Vennes</t>
  </si>
  <si>
    <t>Tél 0213155941</t>
  </si>
  <si>
    <t>Cg. des Abeilles 11, 1010 Lausanne</t>
  </si>
  <si>
    <t>Mob 0797909650</t>
  </si>
  <si>
    <t>Léxplore</t>
  </si>
  <si>
    <t>Léxplore Platform</t>
  </si>
  <si>
    <t>Floreana Miesen</t>
  </si>
  <si>
    <t>Pully</t>
  </si>
  <si>
    <t>Sébastien Lavanchy</t>
  </si>
  <si>
    <t>Pontaise (salle de gym)</t>
  </si>
  <si>
    <t>Beaulieu</t>
  </si>
  <si>
    <t>Collège de la Pontaise</t>
  </si>
  <si>
    <t>Av. Druey, 1018 Lausanne</t>
  </si>
  <si>
    <t>Riant-Pré</t>
  </si>
  <si>
    <t>Sallaz</t>
  </si>
  <si>
    <t>M. Badan</t>
  </si>
  <si>
    <t>Collège de Riant-Pré</t>
  </si>
  <si>
    <t>Mob 0793326819</t>
  </si>
  <si>
    <t>Cg. de Bérée 6B, 1010 Lausanne</t>
  </si>
  <si>
    <t>Rouvraie (bat. classes)</t>
  </si>
  <si>
    <t>C.-F.-Ramuz</t>
  </si>
  <si>
    <t>M. Vionnet</t>
  </si>
  <si>
    <t xml:space="preserve">Collège de la Rouvraie </t>
  </si>
  <si>
    <t>Tél 0213156777</t>
  </si>
  <si>
    <t>Av. Parc-de-la-Rouvraie 1, 1018 Lausanne</t>
  </si>
  <si>
    <t>Mob 0797909411</t>
  </si>
  <si>
    <t>Vers-chez-les-Blancs (pavillon Nord)</t>
  </si>
  <si>
    <t>La Sallaz</t>
  </si>
  <si>
    <t>M. Pahud</t>
  </si>
  <si>
    <t>Collège de Vers-chez-les-Blanc</t>
  </si>
  <si>
    <t>Tél 0213156195</t>
  </si>
  <si>
    <t>Rte du Jorat 70, 1000 Lausanne</t>
  </si>
  <si>
    <t>Mob 0797909453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</si>
</sst>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 h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3" numFmtId="0" xfId="0" applyFont="1"/>
    <xf borderId="1" fillId="0" fontId="3" numFmtId="0" xfId="0" applyBorder="1" applyFont="1"/>
    <xf borderId="1" fillId="0" fontId="2" numFmtId="0" xfId="0" applyBorder="1" applyFont="1"/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_respon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GRVN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15" displayName="Form_Responses" name="Form_Responses" id="1">
  <tableColumns count="5">
    <tableColumn name="Horodateur" id="1"/>
    <tableColumn name="Station ID" id="2"/>
    <tableColumn name="Name of person" id="3"/>
    <tableColumn name="Type of maintenance" id="4"/>
    <tableColumn name="Comments" id="5"/>
  </tableColumns>
  <tableStyleInfo name="Form_responses-style" showColumnStripes="0" showFirstColumn="1" showLastColumn="1" showRowStripes="1"/>
</table>
</file>

<file path=xl/tables/table2.xml><?xml version="1.0" encoding="utf-8"?>
<table xmlns="http://schemas.openxmlformats.org/spreadsheetml/2006/main" headerRowCount="0" ref="C24:D25" displayName="Table_1" name="Table_1" id="2">
  <tableColumns count="2">
    <tableColumn name="Column1" id="1"/>
    <tableColumn name="Column2" id="2"/>
  </tableColumns>
  <tableStyleInfo name="GRV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8.88"/>
    <col customWidth="1" min="4" max="4" width="43.0"/>
    <col customWidth="1" min="5" max="5" width="195.63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44894.66888508102</v>
      </c>
      <c r="B2" s="3" t="s">
        <v>5</v>
      </c>
      <c r="C2" s="3" t="s">
        <v>6</v>
      </c>
      <c r="D2" s="3" t="s">
        <v>7</v>
      </c>
      <c r="E2" s="3" t="s">
        <v>8</v>
      </c>
    </row>
    <row r="3" ht="22.5" customHeight="1">
      <c r="A3" s="2">
        <v>44964.6412803125</v>
      </c>
      <c r="B3" s="3" t="s">
        <v>5</v>
      </c>
      <c r="C3" s="3" t="s">
        <v>6</v>
      </c>
      <c r="D3" s="3" t="s">
        <v>9</v>
      </c>
      <c r="E3" s="3" t="s">
        <v>10</v>
      </c>
    </row>
    <row r="4" ht="22.5" customHeight="1">
      <c r="A4" s="2">
        <v>45014.66527354167</v>
      </c>
      <c r="B4" s="3" t="s">
        <v>5</v>
      </c>
      <c r="C4" s="3" t="s">
        <v>6</v>
      </c>
      <c r="D4" s="3" t="s">
        <v>9</v>
      </c>
      <c r="E4" s="3" t="s">
        <v>11</v>
      </c>
    </row>
    <row r="5" ht="22.5" customHeight="1">
      <c r="A5" s="2">
        <v>45071.6389084838</v>
      </c>
      <c r="B5" s="3" t="s">
        <v>5</v>
      </c>
      <c r="C5" s="3" t="s">
        <v>6</v>
      </c>
      <c r="D5" s="3" t="s">
        <v>12</v>
      </c>
      <c r="E5" s="3" t="s">
        <v>13</v>
      </c>
    </row>
    <row r="6" ht="22.5" customHeight="1">
      <c r="A6" s="2">
        <v>45126.60321364584</v>
      </c>
      <c r="B6" s="3" t="s">
        <v>5</v>
      </c>
      <c r="C6" s="3" t="s">
        <v>6</v>
      </c>
      <c r="D6" s="3" t="s">
        <v>9</v>
      </c>
      <c r="E6" s="3" t="s">
        <v>14</v>
      </c>
    </row>
    <row r="7" ht="22.5" customHeight="1">
      <c r="A7" s="2">
        <v>45173.378496516205</v>
      </c>
      <c r="B7" s="3" t="s">
        <v>5</v>
      </c>
      <c r="C7" s="3" t="s">
        <v>15</v>
      </c>
      <c r="D7" s="3" t="s">
        <v>9</v>
      </c>
      <c r="E7" s="3" t="s">
        <v>16</v>
      </c>
    </row>
    <row r="8" ht="22.5" customHeight="1">
      <c r="A8" s="2">
        <v>45217.434808252314</v>
      </c>
      <c r="B8" s="3" t="s">
        <v>5</v>
      </c>
      <c r="C8" s="3" t="s">
        <v>15</v>
      </c>
      <c r="D8" s="3" t="s">
        <v>9</v>
      </c>
      <c r="E8" s="3" t="s">
        <v>17</v>
      </c>
    </row>
    <row r="9" ht="22.5" customHeight="1">
      <c r="A9" s="2">
        <v>45278.390924618056</v>
      </c>
      <c r="B9" s="3" t="s">
        <v>5</v>
      </c>
      <c r="C9" s="3" t="s">
        <v>15</v>
      </c>
      <c r="D9" s="3" t="s">
        <v>18</v>
      </c>
      <c r="E9" s="3" t="s">
        <v>19</v>
      </c>
    </row>
    <row r="10" ht="22.5" customHeight="1">
      <c r="A10" s="2">
        <v>45610.56731798611</v>
      </c>
      <c r="B10" s="3" t="s">
        <v>5</v>
      </c>
      <c r="C10" s="3" t="s">
        <v>6</v>
      </c>
      <c r="D10" s="3" t="s">
        <v>20</v>
      </c>
      <c r="E10" s="3" t="s">
        <v>21</v>
      </c>
    </row>
    <row r="11" ht="22.5" customHeight="1">
      <c r="A11" s="2">
        <v>45611.63027982639</v>
      </c>
      <c r="B11" s="3" t="s">
        <v>5</v>
      </c>
      <c r="C11" s="3" t="s">
        <v>6</v>
      </c>
      <c r="D11" s="3" t="s">
        <v>22</v>
      </c>
      <c r="E11" s="3" t="s">
        <v>23</v>
      </c>
    </row>
    <row r="12" ht="22.5" customHeight="1">
      <c r="A12" s="2">
        <v>45616.66382581019</v>
      </c>
      <c r="B12" s="3" t="s">
        <v>5</v>
      </c>
      <c r="C12" s="3" t="s">
        <v>6</v>
      </c>
      <c r="D12" s="3" t="s">
        <v>12</v>
      </c>
      <c r="E12" s="3" t="s">
        <v>24</v>
      </c>
    </row>
    <row r="13" ht="22.5" customHeight="1">
      <c r="A13" s="2">
        <v>45623.656151979165</v>
      </c>
      <c r="B13" s="3" t="s">
        <v>5</v>
      </c>
      <c r="C13" s="3" t="s">
        <v>6</v>
      </c>
      <c r="D13" s="3" t="s">
        <v>25</v>
      </c>
      <c r="E13" s="3" t="s">
        <v>26</v>
      </c>
    </row>
    <row r="14" ht="22.5" customHeight="1">
      <c r="A14" s="2">
        <v>45755.58073465277</v>
      </c>
      <c r="B14" s="3" t="s">
        <v>5</v>
      </c>
      <c r="C14" s="3" t="s">
        <v>6</v>
      </c>
      <c r="D14" s="3" t="s">
        <v>20</v>
      </c>
      <c r="E14" s="3" t="s">
        <v>27</v>
      </c>
    </row>
    <row r="15" ht="22.5" customHeight="1">
      <c r="A15" s="2">
        <v>45757.48087935185</v>
      </c>
      <c r="B15" s="3" t="s">
        <v>5</v>
      </c>
      <c r="C15" s="3" t="s">
        <v>6</v>
      </c>
      <c r="D15" s="3" t="s">
        <v>9</v>
      </c>
      <c r="E15" s="3" t="s">
        <v>28</v>
      </c>
    </row>
    <row r="16" ht="22.5" customHeight="1">
      <c r="A16" s="2">
        <v>45820.57258894676</v>
      </c>
      <c r="B16" s="3" t="s">
        <v>5</v>
      </c>
      <c r="C16" s="3" t="s">
        <v>6</v>
      </c>
      <c r="D16" s="3" t="s">
        <v>9</v>
      </c>
      <c r="E16" s="3" t="s">
        <v>29</v>
      </c>
    </row>
    <row r="17" ht="22.5" customHeight="1">
      <c r="A17" s="2">
        <v>45874.47894945602</v>
      </c>
      <c r="B17" s="3" t="s">
        <v>5</v>
      </c>
      <c r="C17" s="3" t="s">
        <v>6</v>
      </c>
      <c r="D17" s="3" t="s">
        <v>30</v>
      </c>
      <c r="E17" s="3" t="s">
        <v>31</v>
      </c>
    </row>
    <row r="18" ht="22.5" customHeight="1">
      <c r="A18" s="2">
        <v>45923.448984201386</v>
      </c>
      <c r="B18" s="3" t="s">
        <v>5</v>
      </c>
      <c r="C18" s="3" t="s">
        <v>6</v>
      </c>
      <c r="D18" s="3" t="s">
        <v>32</v>
      </c>
      <c r="E18" s="3" t="s">
        <v>33</v>
      </c>
    </row>
    <row r="19" ht="22.5" customHeight="1">
      <c r="A19" s="2">
        <v>45965.45641695602</v>
      </c>
      <c r="B19" s="3" t="s">
        <v>5</v>
      </c>
      <c r="C19" s="3" t="s">
        <v>6</v>
      </c>
      <c r="D19" s="3" t="s">
        <v>34</v>
      </c>
      <c r="E19" s="3" t="s">
        <v>35</v>
      </c>
    </row>
    <row r="20" ht="22.5" customHeight="1">
      <c r="A20" s="4">
        <v>46086.58592798611</v>
      </c>
      <c r="B20" s="5" t="s">
        <v>5</v>
      </c>
      <c r="C20" s="5" t="s">
        <v>36</v>
      </c>
      <c r="D20" s="5" t="s">
        <v>37</v>
      </c>
      <c r="E20" s="5" t="s">
        <v>38</v>
      </c>
    </row>
    <row r="21" ht="22.5" customHeight="1">
      <c r="A21" s="2">
        <v>44901.69646760417</v>
      </c>
      <c r="B21" s="3" t="s">
        <v>39</v>
      </c>
      <c r="C21" s="3" t="s">
        <v>6</v>
      </c>
      <c r="D21" s="3" t="s">
        <v>40</v>
      </c>
      <c r="E21" s="3" t="s">
        <v>41</v>
      </c>
    </row>
    <row r="22" ht="22.5" customHeight="1">
      <c r="A22" s="2">
        <v>44902.43336834491</v>
      </c>
      <c r="B22" s="3" t="s">
        <v>39</v>
      </c>
      <c r="C22" s="3" t="s">
        <v>42</v>
      </c>
      <c r="D22" s="3" t="s">
        <v>43</v>
      </c>
      <c r="E22" s="3" t="s">
        <v>44</v>
      </c>
    </row>
    <row r="23" ht="22.5" customHeight="1">
      <c r="A23" s="2">
        <v>44979.57537438658</v>
      </c>
      <c r="B23" s="3" t="s">
        <v>39</v>
      </c>
      <c r="C23" s="3" t="s">
        <v>42</v>
      </c>
      <c r="D23" s="3" t="s">
        <v>9</v>
      </c>
      <c r="E23" s="3" t="s">
        <v>45</v>
      </c>
    </row>
    <row r="24" ht="22.5" customHeight="1">
      <c r="A24" s="2">
        <v>45041.54604885417</v>
      </c>
      <c r="B24" s="3" t="s">
        <v>39</v>
      </c>
      <c r="C24" s="3" t="s">
        <v>42</v>
      </c>
      <c r="D24" s="3" t="s">
        <v>12</v>
      </c>
      <c r="E24" s="3" t="s">
        <v>46</v>
      </c>
    </row>
    <row r="25" ht="22.5" customHeight="1">
      <c r="A25" s="2">
        <v>45351.35415857639</v>
      </c>
      <c r="B25" s="3" t="s">
        <v>39</v>
      </c>
      <c r="C25" s="3" t="s">
        <v>15</v>
      </c>
      <c r="D25" s="3" t="s">
        <v>43</v>
      </c>
      <c r="E25" s="3" t="s">
        <v>47</v>
      </c>
    </row>
    <row r="26" ht="22.5" customHeight="1">
      <c r="A26" s="2">
        <v>45352.363495185185</v>
      </c>
      <c r="B26" s="3" t="s">
        <v>39</v>
      </c>
      <c r="C26" s="3" t="s">
        <v>42</v>
      </c>
      <c r="D26" s="3" t="s">
        <v>9</v>
      </c>
      <c r="E26" s="3" t="s">
        <v>48</v>
      </c>
    </row>
    <row r="27" ht="22.5" customHeight="1">
      <c r="A27" s="2">
        <v>45616.36418752315</v>
      </c>
      <c r="B27" s="3" t="s">
        <v>39</v>
      </c>
      <c r="C27" s="3" t="s">
        <v>6</v>
      </c>
      <c r="D27" s="3" t="s">
        <v>22</v>
      </c>
      <c r="E27" s="3" t="s">
        <v>49</v>
      </c>
    </row>
    <row r="28" ht="22.5" customHeight="1">
      <c r="A28" s="2">
        <v>45631.357858703705</v>
      </c>
      <c r="B28" s="3" t="s">
        <v>39</v>
      </c>
      <c r="C28" s="3" t="s">
        <v>6</v>
      </c>
      <c r="D28" s="3" t="s">
        <v>12</v>
      </c>
      <c r="E28" s="3" t="s">
        <v>50</v>
      </c>
    </row>
    <row r="29" ht="22.5" customHeight="1">
      <c r="A29" s="2">
        <v>45755.35039721065</v>
      </c>
      <c r="B29" s="3" t="s">
        <v>39</v>
      </c>
      <c r="C29" s="3" t="s">
        <v>6</v>
      </c>
      <c r="D29" s="3" t="s">
        <v>20</v>
      </c>
      <c r="E29" s="3" t="s">
        <v>51</v>
      </c>
    </row>
    <row r="30" ht="22.5" customHeight="1">
      <c r="A30" s="2">
        <v>45755.37745063657</v>
      </c>
      <c r="B30" s="3" t="s">
        <v>39</v>
      </c>
      <c r="C30" s="3" t="s">
        <v>6</v>
      </c>
      <c r="D30" s="3" t="s">
        <v>20</v>
      </c>
    </row>
    <row r="31" ht="22.5" customHeight="1">
      <c r="A31" s="2">
        <v>45757.41097707176</v>
      </c>
      <c r="B31" s="3" t="s">
        <v>39</v>
      </c>
      <c r="C31" s="3" t="s">
        <v>6</v>
      </c>
      <c r="D31" s="3" t="s">
        <v>9</v>
      </c>
      <c r="E31" s="3" t="s">
        <v>52</v>
      </c>
    </row>
    <row r="32" ht="22.5" customHeight="1">
      <c r="A32" s="2">
        <v>45776.35784211806</v>
      </c>
      <c r="B32" s="3" t="s">
        <v>39</v>
      </c>
      <c r="C32" s="3" t="s">
        <v>6</v>
      </c>
      <c r="D32" s="3" t="s">
        <v>20</v>
      </c>
      <c r="E32" s="3" t="s">
        <v>53</v>
      </c>
    </row>
    <row r="33" ht="22.5" customHeight="1">
      <c r="A33" s="2">
        <v>45776.395819108795</v>
      </c>
      <c r="B33" s="3" t="s">
        <v>39</v>
      </c>
      <c r="C33" s="3" t="s">
        <v>6</v>
      </c>
      <c r="D33" s="3" t="s">
        <v>9</v>
      </c>
      <c r="E33" s="3" t="s">
        <v>54</v>
      </c>
    </row>
    <row r="34" ht="22.5" customHeight="1">
      <c r="A34" s="2">
        <v>45820.347634756945</v>
      </c>
      <c r="B34" s="3" t="s">
        <v>39</v>
      </c>
      <c r="C34" s="3" t="s">
        <v>6</v>
      </c>
      <c r="D34" s="3" t="s">
        <v>9</v>
      </c>
      <c r="E34" s="3" t="s">
        <v>55</v>
      </c>
    </row>
    <row r="35" ht="22.5" customHeight="1">
      <c r="A35" s="2">
        <v>45874.32389909722</v>
      </c>
      <c r="B35" s="3" t="s">
        <v>39</v>
      </c>
      <c r="C35" s="3" t="s">
        <v>6</v>
      </c>
      <c r="D35" s="3" t="s">
        <v>30</v>
      </c>
      <c r="E35" s="3" t="s">
        <v>56</v>
      </c>
    </row>
    <row r="36" ht="22.5" customHeight="1">
      <c r="A36" s="2">
        <v>45911.40915721065</v>
      </c>
      <c r="B36" s="3" t="s">
        <v>39</v>
      </c>
      <c r="C36" s="3" t="s">
        <v>6</v>
      </c>
      <c r="D36" s="3" t="s">
        <v>32</v>
      </c>
      <c r="E36" s="3" t="s">
        <v>57</v>
      </c>
    </row>
    <row r="37" ht="22.5" customHeight="1">
      <c r="A37" s="2">
        <v>45951.7703387037</v>
      </c>
      <c r="B37" s="3" t="s">
        <v>39</v>
      </c>
      <c r="C37" s="3" t="s">
        <v>6</v>
      </c>
      <c r="D37" s="3" t="s">
        <v>58</v>
      </c>
      <c r="E37" s="3" t="s">
        <v>59</v>
      </c>
    </row>
    <row r="38" ht="22.5" customHeight="1">
      <c r="A38" s="2">
        <v>44894.63291458333</v>
      </c>
      <c r="B38" s="3" t="s">
        <v>60</v>
      </c>
      <c r="C38" s="3" t="s">
        <v>6</v>
      </c>
      <c r="D38" s="3" t="s">
        <v>7</v>
      </c>
      <c r="E38" s="3" t="s">
        <v>8</v>
      </c>
    </row>
    <row r="39" ht="22.5" customHeight="1">
      <c r="A39" s="2">
        <v>44964.62618633102</v>
      </c>
      <c r="B39" s="3" t="s">
        <v>60</v>
      </c>
      <c r="C39" s="3" t="s">
        <v>6</v>
      </c>
      <c r="D39" s="3" t="s">
        <v>9</v>
      </c>
      <c r="E39" s="3" t="s">
        <v>61</v>
      </c>
    </row>
    <row r="40" ht="22.5" customHeight="1">
      <c r="A40" s="2">
        <v>45014.649024976854</v>
      </c>
      <c r="B40" s="3" t="s">
        <v>60</v>
      </c>
      <c r="C40" s="3" t="s">
        <v>6</v>
      </c>
      <c r="D40" s="3" t="s">
        <v>9</v>
      </c>
      <c r="E40" s="3" t="s">
        <v>62</v>
      </c>
    </row>
    <row r="41" ht="22.5" customHeight="1">
      <c r="A41" s="2">
        <v>45070.6699734375</v>
      </c>
      <c r="B41" s="3" t="s">
        <v>60</v>
      </c>
      <c r="C41" s="3" t="s">
        <v>6</v>
      </c>
      <c r="D41" s="3" t="s">
        <v>9</v>
      </c>
      <c r="E41" s="3" t="s">
        <v>63</v>
      </c>
    </row>
    <row r="42" ht="22.5" customHeight="1">
      <c r="A42" s="2">
        <v>45126.63393125</v>
      </c>
      <c r="B42" s="3" t="s">
        <v>60</v>
      </c>
      <c r="C42" s="3" t="s">
        <v>6</v>
      </c>
      <c r="D42" s="3" t="s">
        <v>12</v>
      </c>
      <c r="E42" s="3" t="s">
        <v>64</v>
      </c>
    </row>
    <row r="43" ht="22.5" customHeight="1">
      <c r="A43" s="2">
        <v>45173.397959236114</v>
      </c>
      <c r="B43" s="3" t="s">
        <v>60</v>
      </c>
      <c r="C43" s="3" t="s">
        <v>15</v>
      </c>
      <c r="D43" s="3" t="s">
        <v>9</v>
      </c>
      <c r="E43" s="3" t="s">
        <v>65</v>
      </c>
    </row>
    <row r="44" ht="22.5" customHeight="1">
      <c r="A44" s="2">
        <v>45237.50429890046</v>
      </c>
      <c r="B44" s="3" t="s">
        <v>60</v>
      </c>
      <c r="C44" s="3" t="s">
        <v>15</v>
      </c>
      <c r="D44" s="3" t="s">
        <v>12</v>
      </c>
      <c r="E44" s="3" t="s">
        <v>66</v>
      </c>
    </row>
    <row r="45" ht="22.5" customHeight="1">
      <c r="A45" s="2">
        <v>45278.450648032405</v>
      </c>
      <c r="B45" s="3" t="s">
        <v>60</v>
      </c>
      <c r="C45" s="3" t="s">
        <v>15</v>
      </c>
      <c r="D45" s="3" t="s">
        <v>18</v>
      </c>
      <c r="E45" s="3" t="s">
        <v>67</v>
      </c>
    </row>
    <row r="46" ht="22.5" customHeight="1">
      <c r="A46" s="2">
        <v>45610.490190069446</v>
      </c>
      <c r="B46" s="3" t="s">
        <v>60</v>
      </c>
      <c r="C46" s="3" t="s">
        <v>6</v>
      </c>
      <c r="D46" s="3" t="s">
        <v>9</v>
      </c>
      <c r="E46" s="3" t="s">
        <v>68</v>
      </c>
    </row>
    <row r="47" ht="22.5" customHeight="1">
      <c r="A47" s="2">
        <v>45610.552990428245</v>
      </c>
      <c r="B47" s="3" t="s">
        <v>60</v>
      </c>
      <c r="C47" s="3" t="s">
        <v>6</v>
      </c>
      <c r="D47" s="3" t="s">
        <v>9</v>
      </c>
    </row>
    <row r="48" ht="22.5" customHeight="1">
      <c r="A48" s="2">
        <v>45623.71409081019</v>
      </c>
      <c r="B48" s="3" t="s">
        <v>60</v>
      </c>
      <c r="C48" s="3" t="s">
        <v>6</v>
      </c>
      <c r="D48" s="3" t="s">
        <v>20</v>
      </c>
      <c r="E48" s="3" t="s">
        <v>69</v>
      </c>
    </row>
    <row r="49" ht="22.5" customHeight="1">
      <c r="A49" s="2">
        <v>45629.47412131944</v>
      </c>
      <c r="B49" s="3" t="s">
        <v>60</v>
      </c>
      <c r="C49" s="3" t="s">
        <v>6</v>
      </c>
      <c r="D49" s="3" t="s">
        <v>12</v>
      </c>
      <c r="E49" s="3" t="s">
        <v>70</v>
      </c>
    </row>
    <row r="50" ht="22.5" customHeight="1">
      <c r="A50" s="2">
        <v>45755.648271666665</v>
      </c>
      <c r="B50" s="3" t="s">
        <v>60</v>
      </c>
      <c r="C50" s="3" t="s">
        <v>6</v>
      </c>
      <c r="D50" s="3" t="s">
        <v>20</v>
      </c>
      <c r="E50" s="3" t="s">
        <v>71</v>
      </c>
    </row>
    <row r="51" ht="22.5" customHeight="1">
      <c r="A51" s="2">
        <v>45757.4909066088</v>
      </c>
      <c r="B51" s="3" t="s">
        <v>60</v>
      </c>
      <c r="C51" s="3" t="s">
        <v>6</v>
      </c>
      <c r="D51" s="3" t="s">
        <v>9</v>
      </c>
      <c r="E51" s="3" t="s">
        <v>72</v>
      </c>
    </row>
    <row r="52" ht="22.5" customHeight="1">
      <c r="A52" s="2">
        <v>45831.722251875</v>
      </c>
      <c r="B52" s="3" t="s">
        <v>60</v>
      </c>
      <c r="C52" s="3" t="s">
        <v>6</v>
      </c>
      <c r="D52" s="3" t="s">
        <v>22</v>
      </c>
      <c r="E52" s="3" t="s">
        <v>73</v>
      </c>
    </row>
    <row r="53" ht="22.5" customHeight="1">
      <c r="A53" s="2">
        <v>45832.716160509255</v>
      </c>
      <c r="B53" s="3" t="s">
        <v>60</v>
      </c>
      <c r="C53" s="3" t="s">
        <v>6</v>
      </c>
      <c r="D53" s="3" t="s">
        <v>18</v>
      </c>
      <c r="E53" s="3" t="s">
        <v>74</v>
      </c>
    </row>
    <row r="54" ht="22.5" customHeight="1">
      <c r="A54" s="2">
        <v>45874.56956503472</v>
      </c>
      <c r="B54" s="3" t="s">
        <v>60</v>
      </c>
      <c r="C54" s="3" t="s">
        <v>6</v>
      </c>
      <c r="D54" s="3" t="s">
        <v>30</v>
      </c>
      <c r="E54" s="3" t="s">
        <v>75</v>
      </c>
    </row>
    <row r="55" ht="22.5" customHeight="1">
      <c r="A55" s="2">
        <v>45876.469895092596</v>
      </c>
      <c r="B55" s="3" t="s">
        <v>60</v>
      </c>
      <c r="C55" s="3" t="s">
        <v>6</v>
      </c>
      <c r="D55" s="3" t="s">
        <v>76</v>
      </c>
      <c r="E55" s="3" t="s">
        <v>77</v>
      </c>
    </row>
    <row r="56" ht="22.5" customHeight="1">
      <c r="A56" s="2">
        <v>45930.41002034722</v>
      </c>
      <c r="B56" s="3" t="s">
        <v>60</v>
      </c>
      <c r="C56" s="3" t="s">
        <v>6</v>
      </c>
      <c r="D56" s="3" t="s">
        <v>32</v>
      </c>
      <c r="E56" s="3" t="s">
        <v>78</v>
      </c>
    </row>
    <row r="57" ht="22.5" customHeight="1">
      <c r="A57" s="2">
        <v>44894.61678251157</v>
      </c>
      <c r="B57" s="3" t="s">
        <v>79</v>
      </c>
      <c r="C57" s="3" t="s">
        <v>6</v>
      </c>
      <c r="D57" s="3" t="s">
        <v>7</v>
      </c>
      <c r="E57" s="3" t="s">
        <v>80</v>
      </c>
    </row>
    <row r="58" ht="22.5" customHeight="1">
      <c r="A58" s="2">
        <v>44964.61070907407</v>
      </c>
      <c r="B58" s="3" t="s">
        <v>79</v>
      </c>
      <c r="C58" s="3" t="s">
        <v>6</v>
      </c>
      <c r="D58" s="3" t="s">
        <v>9</v>
      </c>
      <c r="E58" s="3" t="s">
        <v>81</v>
      </c>
    </row>
    <row r="59" ht="22.5" customHeight="1">
      <c r="A59" s="2">
        <v>45014.632805243054</v>
      </c>
      <c r="B59" s="3" t="s">
        <v>79</v>
      </c>
      <c r="C59" s="3" t="s">
        <v>6</v>
      </c>
      <c r="D59" s="3" t="s">
        <v>9</v>
      </c>
      <c r="E59" s="3" t="s">
        <v>82</v>
      </c>
    </row>
    <row r="60" ht="22.5" customHeight="1">
      <c r="A60" s="2">
        <v>45070.83462799768</v>
      </c>
      <c r="B60" s="3" t="s">
        <v>79</v>
      </c>
      <c r="C60" s="3" t="s">
        <v>6</v>
      </c>
      <c r="D60" s="3" t="s">
        <v>9</v>
      </c>
      <c r="E60" s="3" t="s">
        <v>83</v>
      </c>
    </row>
    <row r="61" ht="22.5" customHeight="1">
      <c r="A61" s="2">
        <v>45126.6591203125</v>
      </c>
      <c r="B61" s="3" t="s">
        <v>79</v>
      </c>
      <c r="C61" s="3" t="s">
        <v>6</v>
      </c>
      <c r="D61" s="3" t="s">
        <v>9</v>
      </c>
      <c r="E61" s="3" t="s">
        <v>84</v>
      </c>
    </row>
    <row r="62" ht="22.5" customHeight="1">
      <c r="A62" s="2">
        <v>45173.42568207176</v>
      </c>
      <c r="B62" s="3" t="s">
        <v>79</v>
      </c>
      <c r="C62" s="3" t="s">
        <v>15</v>
      </c>
      <c r="D62" s="3" t="s">
        <v>9</v>
      </c>
      <c r="E62" s="3" t="s">
        <v>85</v>
      </c>
    </row>
    <row r="63" ht="22.5" customHeight="1">
      <c r="A63" s="2">
        <v>45217.46172424768</v>
      </c>
      <c r="B63" s="3" t="s">
        <v>79</v>
      </c>
      <c r="C63" s="3" t="s">
        <v>15</v>
      </c>
      <c r="D63" s="3" t="s">
        <v>9</v>
      </c>
      <c r="E63" s="3" t="s">
        <v>86</v>
      </c>
    </row>
    <row r="64" ht="22.5" customHeight="1">
      <c r="A64" s="2">
        <v>45278.42083809028</v>
      </c>
      <c r="B64" s="3" t="s">
        <v>79</v>
      </c>
      <c r="C64" s="3" t="s">
        <v>15</v>
      </c>
      <c r="D64" s="3" t="s">
        <v>18</v>
      </c>
      <c r="E64" s="3" t="s">
        <v>87</v>
      </c>
    </row>
    <row r="65" ht="22.5" customHeight="1">
      <c r="A65" s="2">
        <v>45616.485028344905</v>
      </c>
      <c r="B65" s="3" t="s">
        <v>79</v>
      </c>
      <c r="C65" s="3" t="s">
        <v>6</v>
      </c>
      <c r="D65" s="3" t="s">
        <v>22</v>
      </c>
      <c r="E65" s="3" t="s">
        <v>88</v>
      </c>
    </row>
    <row r="66" ht="22.5" customHeight="1">
      <c r="A66" s="2">
        <v>45629.462841053246</v>
      </c>
      <c r="B66" s="3" t="s">
        <v>79</v>
      </c>
      <c r="C66" s="3" t="s">
        <v>6</v>
      </c>
      <c r="D66" s="3" t="s">
        <v>89</v>
      </c>
      <c r="E66" s="3" t="s">
        <v>90</v>
      </c>
    </row>
    <row r="67" ht="22.5" customHeight="1">
      <c r="A67" s="2">
        <v>45755.62737229167</v>
      </c>
      <c r="B67" s="3" t="s">
        <v>79</v>
      </c>
      <c r="C67" s="3" t="s">
        <v>6</v>
      </c>
      <c r="D67" s="3" t="s">
        <v>20</v>
      </c>
      <c r="E67" s="3" t="s">
        <v>91</v>
      </c>
    </row>
    <row r="68" ht="22.5" customHeight="1">
      <c r="A68" s="2">
        <v>45757.46830982639</v>
      </c>
      <c r="B68" s="3" t="s">
        <v>79</v>
      </c>
      <c r="C68" s="3" t="s">
        <v>6</v>
      </c>
      <c r="D68" s="3" t="s">
        <v>92</v>
      </c>
      <c r="E68" s="3" t="s">
        <v>93</v>
      </c>
    </row>
    <row r="69" ht="22.5" customHeight="1">
      <c r="A69" s="2">
        <v>45820.572858761574</v>
      </c>
      <c r="B69" s="3" t="s">
        <v>79</v>
      </c>
      <c r="C69" s="3" t="s">
        <v>6</v>
      </c>
      <c r="D69" s="3" t="s">
        <v>9</v>
      </c>
      <c r="E69" s="3" t="s">
        <v>94</v>
      </c>
    </row>
    <row r="70" ht="22.5" customHeight="1">
      <c r="A70" s="2">
        <v>45874.585222002315</v>
      </c>
      <c r="B70" s="3" t="s">
        <v>79</v>
      </c>
      <c r="C70" s="3" t="s">
        <v>6</v>
      </c>
      <c r="D70" s="3" t="s">
        <v>30</v>
      </c>
      <c r="E70" s="3" t="s">
        <v>95</v>
      </c>
    </row>
    <row r="71" ht="22.5" customHeight="1">
      <c r="A71" s="2">
        <v>45911.60838002315</v>
      </c>
      <c r="B71" s="3" t="s">
        <v>79</v>
      </c>
      <c r="C71" s="3" t="s">
        <v>6</v>
      </c>
      <c r="D71" s="3" t="s">
        <v>32</v>
      </c>
      <c r="E71" s="3" t="s">
        <v>96</v>
      </c>
    </row>
    <row r="72" ht="22.5" customHeight="1">
      <c r="A72" s="2">
        <v>44875.65998052083</v>
      </c>
      <c r="B72" s="3" t="s">
        <v>97</v>
      </c>
      <c r="C72" s="3" t="s">
        <v>6</v>
      </c>
      <c r="D72" s="3" t="s">
        <v>98</v>
      </c>
      <c r="E72" s="3" t="s">
        <v>99</v>
      </c>
    </row>
    <row r="73" ht="22.5" customHeight="1">
      <c r="A73" s="2">
        <v>44875.682340150466</v>
      </c>
      <c r="B73" s="3" t="s">
        <v>97</v>
      </c>
      <c r="C73" s="3" t="s">
        <v>42</v>
      </c>
      <c r="D73" s="3" t="s">
        <v>7</v>
      </c>
      <c r="E73" s="3" t="s">
        <v>100</v>
      </c>
    </row>
    <row r="74" ht="22.5" customHeight="1">
      <c r="A74" s="2">
        <v>44880.62723515046</v>
      </c>
      <c r="B74" s="3" t="s">
        <v>97</v>
      </c>
      <c r="C74" s="3" t="s">
        <v>6</v>
      </c>
      <c r="D74" s="3" t="s">
        <v>9</v>
      </c>
      <c r="E74" s="3" t="s">
        <v>101</v>
      </c>
    </row>
    <row r="75" ht="22.5" customHeight="1">
      <c r="A75" s="2">
        <v>44880.65743233796</v>
      </c>
      <c r="B75" s="3" t="s">
        <v>97</v>
      </c>
      <c r="C75" s="3" t="s">
        <v>6</v>
      </c>
      <c r="D75" s="3" t="s">
        <v>102</v>
      </c>
      <c r="E75" s="3" t="s">
        <v>103</v>
      </c>
    </row>
    <row r="76" ht="22.5" customHeight="1">
      <c r="A76" s="6">
        <v>44945.604166666664</v>
      </c>
      <c r="B76" s="3" t="s">
        <v>97</v>
      </c>
      <c r="C76" s="3" t="s">
        <v>6</v>
      </c>
      <c r="D76" s="3" t="s">
        <v>9</v>
      </c>
      <c r="E76" s="3" t="s">
        <v>104</v>
      </c>
    </row>
    <row r="77" ht="22.5" customHeight="1">
      <c r="A77" s="2">
        <v>45013.694757523146</v>
      </c>
      <c r="B77" s="3" t="s">
        <v>97</v>
      </c>
      <c r="C77" s="3" t="s">
        <v>6</v>
      </c>
      <c r="D77" s="3" t="s">
        <v>9</v>
      </c>
      <c r="E77" s="3" t="s">
        <v>105</v>
      </c>
    </row>
    <row r="78" ht="22.5" customHeight="1">
      <c r="A78" s="2">
        <v>45041.56325883102</v>
      </c>
      <c r="B78" s="3" t="s">
        <v>97</v>
      </c>
      <c r="C78" s="3" t="s">
        <v>42</v>
      </c>
      <c r="D78" s="3" t="s">
        <v>9</v>
      </c>
      <c r="E78" s="3" t="s">
        <v>106</v>
      </c>
    </row>
    <row r="79" ht="22.5" customHeight="1">
      <c r="A79" s="2">
        <v>45105.439409004626</v>
      </c>
      <c r="B79" s="3" t="s">
        <v>97</v>
      </c>
      <c r="C79" s="3" t="s">
        <v>42</v>
      </c>
      <c r="D79" s="3" t="s">
        <v>9</v>
      </c>
      <c r="E79" s="3" t="s">
        <v>107</v>
      </c>
    </row>
    <row r="80" ht="22.5" customHeight="1">
      <c r="A80" s="2">
        <v>45147.50470230324</v>
      </c>
      <c r="B80" s="3" t="s">
        <v>97</v>
      </c>
      <c r="C80" s="3" t="s">
        <v>15</v>
      </c>
      <c r="D80" s="3" t="s">
        <v>9</v>
      </c>
      <c r="E80" s="3" t="s">
        <v>108</v>
      </c>
    </row>
    <row r="81" ht="22.5" customHeight="1">
      <c r="A81" s="2">
        <v>45230.48131840277</v>
      </c>
      <c r="B81" s="3" t="s">
        <v>97</v>
      </c>
      <c r="C81" s="3" t="s">
        <v>15</v>
      </c>
      <c r="D81" s="3" t="s">
        <v>9</v>
      </c>
      <c r="E81" s="3" t="s">
        <v>109</v>
      </c>
    </row>
    <row r="82" ht="22.5" customHeight="1">
      <c r="A82" s="2">
        <v>45250.41850696759</v>
      </c>
      <c r="B82" s="3" t="s">
        <v>97</v>
      </c>
      <c r="C82" s="3" t="s">
        <v>15</v>
      </c>
      <c r="D82" s="3" t="s">
        <v>9</v>
      </c>
      <c r="E82" s="3" t="s">
        <v>110</v>
      </c>
    </row>
    <row r="83" ht="22.5" customHeight="1">
      <c r="A83" s="2">
        <v>45337.62722594907</v>
      </c>
      <c r="B83" s="3" t="s">
        <v>97</v>
      </c>
      <c r="C83" s="3" t="s">
        <v>15</v>
      </c>
      <c r="D83" s="3" t="s">
        <v>9</v>
      </c>
      <c r="E83" s="3" t="s">
        <v>111</v>
      </c>
    </row>
    <row r="84" ht="22.5" customHeight="1">
      <c r="A84" s="2">
        <v>45393.46316733796</v>
      </c>
      <c r="B84" s="3" t="s">
        <v>97</v>
      </c>
      <c r="C84" s="3" t="s">
        <v>15</v>
      </c>
      <c r="D84" s="3" t="s">
        <v>18</v>
      </c>
      <c r="E84" s="3" t="s">
        <v>112</v>
      </c>
    </row>
    <row r="85" ht="22.5" customHeight="1">
      <c r="A85" s="2">
        <v>45607.59689212963</v>
      </c>
      <c r="B85" s="3" t="s">
        <v>97</v>
      </c>
      <c r="C85" s="3" t="s">
        <v>6</v>
      </c>
      <c r="D85" s="3" t="s">
        <v>9</v>
      </c>
      <c r="E85" s="3" t="s">
        <v>113</v>
      </c>
    </row>
    <row r="86" ht="22.5" customHeight="1">
      <c r="A86" s="2">
        <v>45642.62209866898</v>
      </c>
      <c r="B86" s="3" t="s">
        <v>97</v>
      </c>
      <c r="C86" s="3" t="s">
        <v>6</v>
      </c>
      <c r="D86" s="3" t="s">
        <v>9</v>
      </c>
      <c r="E86" s="3" t="s">
        <v>114</v>
      </c>
    </row>
    <row r="87" ht="22.5" customHeight="1">
      <c r="A87" s="2">
        <v>45692.54911940973</v>
      </c>
      <c r="B87" s="3" t="s">
        <v>97</v>
      </c>
      <c r="C87" s="3" t="s">
        <v>6</v>
      </c>
      <c r="D87" s="3" t="s">
        <v>9</v>
      </c>
      <c r="E87" s="3" t="s">
        <v>115</v>
      </c>
    </row>
    <row r="88" ht="22.5" customHeight="1">
      <c r="A88" s="2">
        <v>45741.472309386576</v>
      </c>
      <c r="B88" s="3" t="s">
        <v>97</v>
      </c>
      <c r="C88" s="3" t="s">
        <v>6</v>
      </c>
      <c r="D88" s="3" t="s">
        <v>9</v>
      </c>
      <c r="E88" s="3" t="s">
        <v>116</v>
      </c>
    </row>
    <row r="89" ht="22.5" customHeight="1">
      <c r="A89" s="2">
        <v>45762.52893576389</v>
      </c>
      <c r="B89" s="3" t="s">
        <v>97</v>
      </c>
      <c r="C89" s="3" t="s">
        <v>6</v>
      </c>
      <c r="D89" s="3" t="s">
        <v>20</v>
      </c>
      <c r="E89" s="3" t="s">
        <v>117</v>
      </c>
    </row>
    <row r="90" ht="22.5" customHeight="1">
      <c r="A90" s="2">
        <v>45792.68019305555</v>
      </c>
      <c r="B90" s="3" t="s">
        <v>97</v>
      </c>
      <c r="C90" s="3" t="s">
        <v>6</v>
      </c>
      <c r="D90" s="3" t="s">
        <v>9</v>
      </c>
      <c r="E90" s="3" t="s">
        <v>118</v>
      </c>
    </row>
    <row r="91" ht="22.5" customHeight="1">
      <c r="A91" s="2">
        <v>45867.564165034724</v>
      </c>
      <c r="B91" s="3" t="s">
        <v>97</v>
      </c>
      <c r="C91" s="3" t="s">
        <v>6</v>
      </c>
      <c r="D91" s="3" t="s">
        <v>43</v>
      </c>
      <c r="E91" s="3" t="s">
        <v>119</v>
      </c>
    </row>
    <row r="92" ht="22.5" customHeight="1">
      <c r="A92" s="2">
        <v>45958.54312292824</v>
      </c>
      <c r="B92" s="3" t="s">
        <v>97</v>
      </c>
      <c r="C92" s="3" t="s">
        <v>6</v>
      </c>
      <c r="D92" s="3" t="s">
        <v>120</v>
      </c>
      <c r="E92" s="3" t="s">
        <v>121</v>
      </c>
    </row>
    <row r="93" ht="22.5" customHeight="1">
      <c r="A93" s="2">
        <v>45994.7376825463</v>
      </c>
      <c r="B93" s="3" t="s">
        <v>97</v>
      </c>
      <c r="C93" s="3" t="s">
        <v>6</v>
      </c>
      <c r="D93" s="3" t="s">
        <v>122</v>
      </c>
      <c r="E93" s="3" t="s">
        <v>123</v>
      </c>
    </row>
    <row r="94" ht="22.5" customHeight="1">
      <c r="A94" s="2">
        <v>46002.49060348379</v>
      </c>
      <c r="B94" s="3" t="s">
        <v>97</v>
      </c>
      <c r="C94" s="3" t="s">
        <v>6</v>
      </c>
      <c r="D94" s="3" t="s">
        <v>12</v>
      </c>
      <c r="E94" s="3" t="s">
        <v>124</v>
      </c>
    </row>
    <row r="95" ht="22.5" customHeight="1">
      <c r="A95" s="4">
        <v>46006.45187478009</v>
      </c>
      <c r="B95" s="5" t="s">
        <v>97</v>
      </c>
      <c r="C95" s="5" t="s">
        <v>125</v>
      </c>
      <c r="D95" s="5" t="s">
        <v>37</v>
      </c>
      <c r="E95" s="5" t="s">
        <v>126</v>
      </c>
    </row>
    <row r="96" ht="22.5" customHeight="1">
      <c r="A96" s="4">
        <v>46006.47080947917</v>
      </c>
      <c r="B96" s="5" t="s">
        <v>97</v>
      </c>
      <c r="C96" s="5" t="s">
        <v>127</v>
      </c>
      <c r="D96" s="5" t="s">
        <v>9</v>
      </c>
      <c r="E96" s="5" t="s">
        <v>128</v>
      </c>
    </row>
    <row r="97" ht="22.5" customHeight="1">
      <c r="A97" s="4">
        <v>46043.381345925925</v>
      </c>
      <c r="B97" s="5" t="s">
        <v>97</v>
      </c>
      <c r="C97" s="5" t="s">
        <v>6</v>
      </c>
      <c r="D97" s="5" t="s">
        <v>129</v>
      </c>
      <c r="E97" s="5" t="s">
        <v>130</v>
      </c>
    </row>
    <row r="98" ht="22.5" customHeight="1">
      <c r="A98" s="2">
        <v>44873.546784363425</v>
      </c>
      <c r="B98" s="3" t="s">
        <v>131</v>
      </c>
      <c r="C98" s="3" t="s">
        <v>6</v>
      </c>
      <c r="D98" s="3" t="s">
        <v>132</v>
      </c>
      <c r="E98" s="3" t="s">
        <v>133</v>
      </c>
    </row>
    <row r="99" ht="22.5" customHeight="1">
      <c r="A99" s="2">
        <v>44873.67971384259</v>
      </c>
      <c r="B99" s="3" t="s">
        <v>131</v>
      </c>
      <c r="C99" s="3" t="s">
        <v>42</v>
      </c>
      <c r="D99" s="3" t="s">
        <v>134</v>
      </c>
      <c r="E99" s="3" t="s">
        <v>135</v>
      </c>
    </row>
    <row r="100" ht="22.5" customHeight="1">
      <c r="A100" s="6">
        <v>44967.708333333336</v>
      </c>
      <c r="B100" s="3" t="s">
        <v>131</v>
      </c>
      <c r="C100" s="3" t="s">
        <v>6</v>
      </c>
      <c r="D100" s="3" t="s">
        <v>9</v>
      </c>
      <c r="E100" s="3" t="s">
        <v>136</v>
      </c>
    </row>
    <row r="101" ht="22.5" customHeight="1">
      <c r="A101" s="2">
        <v>45012.64596734954</v>
      </c>
      <c r="B101" s="3" t="s">
        <v>131</v>
      </c>
      <c r="C101" s="3" t="s">
        <v>6</v>
      </c>
      <c r="D101" s="3" t="s">
        <v>9</v>
      </c>
      <c r="E101" s="3" t="s">
        <v>137</v>
      </c>
    </row>
    <row r="102" ht="22.5" customHeight="1">
      <c r="A102" s="2">
        <v>45085.46193327547</v>
      </c>
      <c r="B102" s="3" t="s">
        <v>131</v>
      </c>
      <c r="C102" s="3" t="s">
        <v>42</v>
      </c>
      <c r="D102" s="3" t="s">
        <v>9</v>
      </c>
      <c r="E102" s="3" t="s">
        <v>138</v>
      </c>
    </row>
    <row r="103" ht="22.5" customHeight="1">
      <c r="A103" s="2">
        <v>45195.40949320602</v>
      </c>
      <c r="B103" s="3" t="s">
        <v>131</v>
      </c>
      <c r="C103" s="3" t="s">
        <v>15</v>
      </c>
      <c r="D103" s="3" t="s">
        <v>9</v>
      </c>
      <c r="E103" s="3" t="s">
        <v>139</v>
      </c>
    </row>
    <row r="104" ht="22.5" customHeight="1">
      <c r="A104" s="2">
        <v>45217.57524935185</v>
      </c>
      <c r="B104" s="3" t="s">
        <v>131</v>
      </c>
      <c r="C104" s="3" t="s">
        <v>15</v>
      </c>
      <c r="D104" s="3" t="s">
        <v>9</v>
      </c>
      <c r="E104" s="3" t="s">
        <v>140</v>
      </c>
    </row>
    <row r="105" ht="22.5" customHeight="1">
      <c r="A105" s="2">
        <v>45278.67686131944</v>
      </c>
      <c r="B105" s="3" t="s">
        <v>131</v>
      </c>
      <c r="C105" s="3" t="s">
        <v>15</v>
      </c>
      <c r="D105" s="3" t="s">
        <v>18</v>
      </c>
      <c r="E105" s="3" t="s">
        <v>141</v>
      </c>
    </row>
    <row r="106" ht="22.5" customHeight="1">
      <c r="A106" s="2">
        <v>45616.4016721875</v>
      </c>
      <c r="B106" s="3" t="s">
        <v>131</v>
      </c>
      <c r="C106" s="3" t="s">
        <v>6</v>
      </c>
      <c r="D106" s="3" t="s">
        <v>22</v>
      </c>
      <c r="E106" s="3" t="s">
        <v>142</v>
      </c>
    </row>
    <row r="107" ht="22.5" customHeight="1">
      <c r="A107" s="2">
        <v>45631.395080138886</v>
      </c>
      <c r="B107" s="3" t="s">
        <v>131</v>
      </c>
      <c r="C107" s="3" t="s">
        <v>6</v>
      </c>
      <c r="D107" s="3" t="s">
        <v>20</v>
      </c>
      <c r="E107" s="3" t="s">
        <v>143</v>
      </c>
    </row>
    <row r="108" ht="22.5" customHeight="1">
      <c r="A108" s="2">
        <v>45755.46134956018</v>
      </c>
      <c r="B108" s="3" t="s">
        <v>131</v>
      </c>
      <c r="C108" s="3" t="s">
        <v>6</v>
      </c>
      <c r="D108" s="3" t="s">
        <v>20</v>
      </c>
      <c r="E108" s="3" t="s">
        <v>144</v>
      </c>
    </row>
    <row r="109" ht="22.5" customHeight="1">
      <c r="A109" s="2">
        <v>45757.475635358795</v>
      </c>
      <c r="B109" s="3" t="s">
        <v>131</v>
      </c>
      <c r="C109" s="3" t="s">
        <v>6</v>
      </c>
      <c r="D109" s="3" t="s">
        <v>9</v>
      </c>
      <c r="E109" s="3" t="s">
        <v>72</v>
      </c>
    </row>
    <row r="110" ht="22.5" customHeight="1">
      <c r="A110" s="2">
        <v>45820.41166582176</v>
      </c>
      <c r="B110" s="3" t="s">
        <v>131</v>
      </c>
      <c r="C110" s="3" t="s">
        <v>6</v>
      </c>
      <c r="D110" s="3" t="s">
        <v>9</v>
      </c>
      <c r="E110" s="3" t="s">
        <v>145</v>
      </c>
    </row>
    <row r="111" ht="22.5" customHeight="1">
      <c r="A111" s="2">
        <v>45874.44633085648</v>
      </c>
      <c r="B111" s="3" t="s">
        <v>131</v>
      </c>
      <c r="C111" s="3" t="s">
        <v>6</v>
      </c>
      <c r="D111" s="3" t="s">
        <v>30</v>
      </c>
      <c r="E111" s="3" t="s">
        <v>146</v>
      </c>
    </row>
    <row r="112" ht="22.5" customHeight="1">
      <c r="A112" s="2">
        <v>45930.44621582176</v>
      </c>
      <c r="B112" s="3" t="s">
        <v>131</v>
      </c>
      <c r="C112" s="3" t="s">
        <v>6</v>
      </c>
      <c r="D112" s="3" t="s">
        <v>32</v>
      </c>
      <c r="E112" s="3" t="s">
        <v>147</v>
      </c>
    </row>
    <row r="113" ht="22.5" customHeight="1">
      <c r="A113" s="2">
        <v>45959.45370752315</v>
      </c>
      <c r="B113" s="3" t="s">
        <v>131</v>
      </c>
      <c r="C113" s="3" t="s">
        <v>6</v>
      </c>
      <c r="D113" s="3" t="s">
        <v>32</v>
      </c>
      <c r="E113" s="3" t="s">
        <v>148</v>
      </c>
    </row>
    <row r="114" ht="22.5" customHeight="1">
      <c r="A114" s="4">
        <v>46057.36139034722</v>
      </c>
      <c r="B114" s="5" t="s">
        <v>131</v>
      </c>
      <c r="C114" s="5" t="s">
        <v>125</v>
      </c>
      <c r="D114" s="5" t="s">
        <v>43</v>
      </c>
      <c r="E114" s="5" t="s">
        <v>149</v>
      </c>
    </row>
    <row r="115" ht="22.5" customHeight="1">
      <c r="A115" s="2">
        <v>44861.46472222222</v>
      </c>
      <c r="B115" s="3" t="s">
        <v>150</v>
      </c>
      <c r="C115" s="3" t="s">
        <v>6</v>
      </c>
      <c r="D115" s="3" t="s">
        <v>43</v>
      </c>
      <c r="E115" s="3" t="s">
        <v>151</v>
      </c>
    </row>
    <row r="116" ht="22.5" customHeight="1">
      <c r="A116" s="2">
        <v>44890.48371958333</v>
      </c>
      <c r="B116" s="3" t="s">
        <v>150</v>
      </c>
      <c r="C116" s="3" t="s">
        <v>6</v>
      </c>
      <c r="D116" s="3" t="s">
        <v>152</v>
      </c>
      <c r="E116" s="3" t="s">
        <v>153</v>
      </c>
    </row>
    <row r="117" ht="22.5" customHeight="1">
      <c r="A117" s="2">
        <v>44944.69102174768</v>
      </c>
      <c r="B117" s="3" t="s">
        <v>150</v>
      </c>
      <c r="C117" s="3" t="s">
        <v>6</v>
      </c>
      <c r="D117" s="3" t="s">
        <v>9</v>
      </c>
      <c r="E117" s="3" t="s">
        <v>154</v>
      </c>
    </row>
    <row r="118" ht="22.5" customHeight="1">
      <c r="A118" s="2">
        <v>45030.416676064815</v>
      </c>
      <c r="B118" s="3" t="s">
        <v>150</v>
      </c>
      <c r="C118" s="3" t="s">
        <v>42</v>
      </c>
      <c r="D118" s="3" t="s">
        <v>9</v>
      </c>
      <c r="E118" s="3" t="s">
        <v>155</v>
      </c>
    </row>
    <row r="119" ht="22.5" customHeight="1">
      <c r="A119" s="2">
        <v>45097.438775902774</v>
      </c>
      <c r="B119" s="3" t="s">
        <v>150</v>
      </c>
      <c r="C119" s="3" t="s">
        <v>6</v>
      </c>
      <c r="D119" s="3" t="s">
        <v>9</v>
      </c>
      <c r="E119" s="3" t="s">
        <v>156</v>
      </c>
    </row>
    <row r="120" ht="22.5" customHeight="1">
      <c r="A120" s="2">
        <v>45127.57404851852</v>
      </c>
      <c r="B120" s="3" t="s">
        <v>150</v>
      </c>
      <c r="C120" s="3" t="s">
        <v>6</v>
      </c>
      <c r="D120" s="3" t="s">
        <v>9</v>
      </c>
      <c r="E120" s="3" t="s">
        <v>157</v>
      </c>
    </row>
    <row r="121" ht="22.5" customHeight="1">
      <c r="A121" s="2">
        <v>45155.42993763889</v>
      </c>
      <c r="B121" s="3" t="s">
        <v>150</v>
      </c>
      <c r="C121" s="3" t="s">
        <v>6</v>
      </c>
      <c r="D121" s="3" t="s">
        <v>9</v>
      </c>
      <c r="E121" s="3" t="s">
        <v>158</v>
      </c>
    </row>
    <row r="122" ht="22.5" customHeight="1">
      <c r="A122" s="2">
        <v>45216.46786607639</v>
      </c>
      <c r="B122" s="3" t="s">
        <v>150</v>
      </c>
      <c r="C122" s="3" t="s">
        <v>6</v>
      </c>
      <c r="D122" s="3" t="s">
        <v>22</v>
      </c>
      <c r="E122" s="3" t="s">
        <v>159</v>
      </c>
    </row>
    <row r="123" ht="22.5" customHeight="1">
      <c r="A123" s="2">
        <v>45274.39495498843</v>
      </c>
      <c r="B123" s="3" t="s">
        <v>150</v>
      </c>
      <c r="C123" s="3" t="s">
        <v>6</v>
      </c>
      <c r="D123" s="3" t="s">
        <v>9</v>
      </c>
      <c r="E123" s="3" t="s">
        <v>160</v>
      </c>
    </row>
    <row r="124" ht="22.5" customHeight="1">
      <c r="A124" s="2">
        <v>45335.450985821764</v>
      </c>
      <c r="B124" s="3" t="s">
        <v>150</v>
      </c>
      <c r="C124" s="3" t="s">
        <v>6</v>
      </c>
      <c r="D124" s="3" t="s">
        <v>22</v>
      </c>
      <c r="E124" s="3" t="s">
        <v>161</v>
      </c>
    </row>
    <row r="125" ht="22.5" customHeight="1">
      <c r="A125" s="2">
        <v>45393.59611868055</v>
      </c>
      <c r="B125" s="3" t="s">
        <v>150</v>
      </c>
      <c r="C125" s="3" t="s">
        <v>15</v>
      </c>
      <c r="D125" s="3" t="s">
        <v>18</v>
      </c>
      <c r="E125" s="3" t="s">
        <v>162</v>
      </c>
    </row>
    <row r="126" ht="22.5" customHeight="1">
      <c r="A126" s="2">
        <v>45609.62473618056</v>
      </c>
      <c r="B126" s="3" t="s">
        <v>150</v>
      </c>
      <c r="C126" s="3" t="s">
        <v>6</v>
      </c>
      <c r="D126" s="3" t="s">
        <v>22</v>
      </c>
      <c r="E126" s="3" t="s">
        <v>163</v>
      </c>
    </row>
    <row r="127" ht="22.5" customHeight="1">
      <c r="A127" s="2">
        <v>45644.46148216435</v>
      </c>
      <c r="B127" s="3" t="s">
        <v>150</v>
      </c>
      <c r="C127" s="3" t="s">
        <v>6</v>
      </c>
      <c r="D127" s="3" t="s">
        <v>164</v>
      </c>
      <c r="E127" s="3" t="s">
        <v>165</v>
      </c>
    </row>
    <row r="128" ht="22.5" customHeight="1">
      <c r="A128" s="2">
        <v>45728.45599861111</v>
      </c>
      <c r="B128" s="3" t="s">
        <v>150</v>
      </c>
      <c r="C128" s="3" t="s">
        <v>6</v>
      </c>
      <c r="D128" s="3" t="s">
        <v>166</v>
      </c>
      <c r="E128" s="3" t="s">
        <v>167</v>
      </c>
    </row>
    <row r="129" ht="22.5" customHeight="1">
      <c r="A129" s="2">
        <v>45757.496477002314</v>
      </c>
      <c r="B129" s="3" t="s">
        <v>150</v>
      </c>
      <c r="C129" s="3" t="s">
        <v>6</v>
      </c>
      <c r="D129" s="3" t="s">
        <v>9</v>
      </c>
      <c r="E129" s="3" t="s">
        <v>168</v>
      </c>
    </row>
    <row r="130" ht="22.5" customHeight="1">
      <c r="A130" s="2">
        <v>45826.49660424769</v>
      </c>
      <c r="B130" s="3" t="s">
        <v>150</v>
      </c>
      <c r="C130" s="3" t="s">
        <v>6</v>
      </c>
      <c r="D130" s="3" t="s">
        <v>9</v>
      </c>
      <c r="E130" s="3" t="s">
        <v>169</v>
      </c>
    </row>
    <row r="131" ht="22.5" customHeight="1">
      <c r="A131" s="2">
        <v>45881.465609074075</v>
      </c>
      <c r="B131" s="3" t="s">
        <v>150</v>
      </c>
      <c r="C131" s="3" t="s">
        <v>6</v>
      </c>
      <c r="D131" s="3" t="s">
        <v>30</v>
      </c>
      <c r="E131" s="3" t="s">
        <v>170</v>
      </c>
    </row>
    <row r="132" ht="22.5" customHeight="1">
      <c r="A132" s="2">
        <v>44873.547104108795</v>
      </c>
      <c r="B132" s="3" t="s">
        <v>171</v>
      </c>
      <c r="C132" s="3" t="s">
        <v>6</v>
      </c>
      <c r="D132" s="3" t="s">
        <v>132</v>
      </c>
      <c r="E132" s="3" t="s">
        <v>133</v>
      </c>
    </row>
    <row r="133" ht="22.5" customHeight="1">
      <c r="A133" s="2">
        <v>44873.639025462966</v>
      </c>
      <c r="B133" s="3" t="s">
        <v>171</v>
      </c>
      <c r="C133" s="3" t="s">
        <v>6</v>
      </c>
      <c r="D133" s="3" t="s">
        <v>43</v>
      </c>
      <c r="E133" s="3" t="s">
        <v>172</v>
      </c>
    </row>
    <row r="134" ht="22.5" customHeight="1">
      <c r="A134" s="2">
        <v>44936.61972824074</v>
      </c>
      <c r="B134" s="3" t="s">
        <v>171</v>
      </c>
      <c r="C134" s="3" t="s">
        <v>6</v>
      </c>
      <c r="D134" s="3" t="s">
        <v>9</v>
      </c>
      <c r="E134" s="3" t="s">
        <v>173</v>
      </c>
    </row>
    <row r="135" ht="22.5" customHeight="1">
      <c r="A135" s="2">
        <v>45012.68839905092</v>
      </c>
      <c r="B135" s="3" t="s">
        <v>171</v>
      </c>
      <c r="C135" s="3" t="s">
        <v>6</v>
      </c>
      <c r="D135" s="3" t="s">
        <v>9</v>
      </c>
      <c r="E135" s="3" t="s">
        <v>174</v>
      </c>
    </row>
    <row r="136" ht="22.5" customHeight="1">
      <c r="A136" s="2">
        <v>45113.447993842594</v>
      </c>
      <c r="B136" s="3" t="s">
        <v>171</v>
      </c>
      <c r="C136" s="3" t="s">
        <v>42</v>
      </c>
      <c r="D136" s="3" t="s">
        <v>9</v>
      </c>
      <c r="E136" s="3" t="s">
        <v>175</v>
      </c>
    </row>
    <row r="137" ht="22.5" customHeight="1">
      <c r="A137" s="2">
        <v>45170.48832243055</v>
      </c>
      <c r="B137" s="3" t="s">
        <v>171</v>
      </c>
      <c r="C137" s="3" t="s">
        <v>15</v>
      </c>
      <c r="D137" s="3" t="s">
        <v>12</v>
      </c>
      <c r="E137" s="3" t="s">
        <v>176</v>
      </c>
    </row>
    <row r="138" ht="22.5" customHeight="1">
      <c r="A138" s="2">
        <v>45351.384907430554</v>
      </c>
      <c r="B138" s="3" t="s">
        <v>171</v>
      </c>
      <c r="C138" s="3" t="s">
        <v>15</v>
      </c>
      <c r="D138" s="3" t="s">
        <v>43</v>
      </c>
      <c r="E138" s="3" t="s">
        <v>177</v>
      </c>
    </row>
    <row r="139" ht="22.5" customHeight="1">
      <c r="A139" s="2">
        <v>45352.36383590278</v>
      </c>
      <c r="B139" s="3" t="s">
        <v>171</v>
      </c>
      <c r="C139" s="3" t="s">
        <v>42</v>
      </c>
      <c r="D139" s="3" t="s">
        <v>9</v>
      </c>
      <c r="E139" s="3" t="s">
        <v>48</v>
      </c>
    </row>
    <row r="140" ht="22.5" customHeight="1">
      <c r="A140" s="2">
        <v>45610.60429050926</v>
      </c>
      <c r="B140" s="3" t="s">
        <v>171</v>
      </c>
      <c r="C140" s="3" t="s">
        <v>6</v>
      </c>
      <c r="D140" s="3" t="s">
        <v>9</v>
      </c>
      <c r="E140" s="3" t="s">
        <v>178</v>
      </c>
    </row>
    <row r="141" ht="22.5" customHeight="1">
      <c r="A141" s="2">
        <v>45629.60151543982</v>
      </c>
      <c r="B141" s="3" t="s">
        <v>171</v>
      </c>
      <c r="C141" s="3" t="s">
        <v>6</v>
      </c>
      <c r="D141" s="3" t="s">
        <v>25</v>
      </c>
      <c r="E141" s="3" t="s">
        <v>179</v>
      </c>
    </row>
    <row r="142" ht="22.5" customHeight="1">
      <c r="A142" s="2">
        <v>45755.37806935185</v>
      </c>
      <c r="B142" s="3" t="s">
        <v>171</v>
      </c>
      <c r="C142" s="3" t="s">
        <v>6</v>
      </c>
      <c r="D142" s="3" t="s">
        <v>20</v>
      </c>
      <c r="E142" s="3" t="s">
        <v>180</v>
      </c>
    </row>
    <row r="143" ht="22.5" customHeight="1">
      <c r="A143" s="2">
        <v>45755.46048039352</v>
      </c>
      <c r="B143" s="3" t="s">
        <v>171</v>
      </c>
      <c r="C143" s="3" t="s">
        <v>6</v>
      </c>
      <c r="D143" s="3" t="s">
        <v>20</v>
      </c>
    </row>
    <row r="144" ht="22.5" customHeight="1">
      <c r="A144" s="2">
        <v>45820.362573136576</v>
      </c>
      <c r="B144" s="3" t="s">
        <v>171</v>
      </c>
      <c r="C144" s="3" t="s">
        <v>6</v>
      </c>
      <c r="D144" s="3" t="s">
        <v>9</v>
      </c>
      <c r="E144" s="3" t="s">
        <v>181</v>
      </c>
    </row>
    <row r="145" ht="22.5" customHeight="1">
      <c r="A145" s="2">
        <v>45874.35776912037</v>
      </c>
      <c r="B145" s="3" t="s">
        <v>171</v>
      </c>
      <c r="C145" s="3" t="s">
        <v>6</v>
      </c>
      <c r="D145" s="3" t="s">
        <v>30</v>
      </c>
      <c r="E145" s="3" t="s">
        <v>182</v>
      </c>
    </row>
    <row r="146" ht="22.5" customHeight="1">
      <c r="A146" s="2">
        <v>45911.40955675926</v>
      </c>
      <c r="B146" s="3" t="s">
        <v>171</v>
      </c>
      <c r="C146" s="3" t="s">
        <v>6</v>
      </c>
      <c r="D146" s="3" t="s">
        <v>32</v>
      </c>
      <c r="E146" s="3" t="s">
        <v>183</v>
      </c>
    </row>
    <row r="147" ht="22.5" customHeight="1">
      <c r="A147" s="2">
        <v>45951.659070995374</v>
      </c>
      <c r="B147" s="3" t="s">
        <v>171</v>
      </c>
      <c r="C147" s="3" t="s">
        <v>6</v>
      </c>
      <c r="D147" s="3" t="s">
        <v>58</v>
      </c>
      <c r="E147" s="3" t="s">
        <v>184</v>
      </c>
    </row>
    <row r="148" ht="22.5" customHeight="1">
      <c r="A148" s="2">
        <v>45952.41514604166</v>
      </c>
      <c r="B148" s="3" t="s">
        <v>171</v>
      </c>
      <c r="C148" s="3" t="s">
        <v>6</v>
      </c>
      <c r="D148" s="3" t="s">
        <v>32</v>
      </c>
      <c r="E148" s="3" t="s">
        <v>185</v>
      </c>
    </row>
    <row r="149" ht="22.5" customHeight="1">
      <c r="A149" s="2">
        <v>45959.47886832176</v>
      </c>
      <c r="B149" s="3" t="s">
        <v>171</v>
      </c>
      <c r="C149" s="3" t="s">
        <v>6</v>
      </c>
      <c r="D149" s="3" t="s">
        <v>32</v>
      </c>
      <c r="E149" s="3" t="s">
        <v>186</v>
      </c>
    </row>
    <row r="150" ht="22.5" customHeight="1">
      <c r="A150" s="2">
        <v>44873.54609884259</v>
      </c>
      <c r="B150" s="3" t="s">
        <v>187</v>
      </c>
      <c r="C150" s="3" t="s">
        <v>6</v>
      </c>
      <c r="D150" s="3" t="s">
        <v>132</v>
      </c>
      <c r="E150" s="3" t="s">
        <v>133</v>
      </c>
    </row>
    <row r="151" ht="22.5" customHeight="1">
      <c r="A151" s="2">
        <v>44873.66374722222</v>
      </c>
      <c r="B151" s="3" t="s">
        <v>187</v>
      </c>
      <c r="C151" s="3" t="s">
        <v>6</v>
      </c>
      <c r="D151" s="3" t="s">
        <v>134</v>
      </c>
      <c r="E151" s="3" t="s">
        <v>188</v>
      </c>
    </row>
    <row r="152" ht="22.5" customHeight="1">
      <c r="A152" s="2">
        <v>44902.43176399305</v>
      </c>
      <c r="B152" s="3" t="s">
        <v>187</v>
      </c>
      <c r="C152" s="3" t="s">
        <v>42</v>
      </c>
      <c r="D152" s="3" t="s">
        <v>32</v>
      </c>
      <c r="E152" s="3" t="s">
        <v>189</v>
      </c>
    </row>
    <row r="153" ht="22.5" customHeight="1">
      <c r="A153" s="2">
        <v>44936.65981244213</v>
      </c>
      <c r="B153" s="3" t="s">
        <v>187</v>
      </c>
      <c r="C153" s="3" t="s">
        <v>6</v>
      </c>
      <c r="D153" s="3" t="s">
        <v>9</v>
      </c>
      <c r="E153" s="3" t="s">
        <v>190</v>
      </c>
    </row>
    <row r="154" ht="22.5" customHeight="1">
      <c r="A154" s="2">
        <v>45012.66154094908</v>
      </c>
      <c r="B154" s="3" t="s">
        <v>187</v>
      </c>
      <c r="C154" s="3" t="s">
        <v>6</v>
      </c>
      <c r="D154" s="3" t="s">
        <v>9</v>
      </c>
      <c r="E154" s="3" t="s">
        <v>191</v>
      </c>
    </row>
    <row r="155" ht="22.5" customHeight="1">
      <c r="A155" s="2">
        <v>45071.663408402776</v>
      </c>
      <c r="B155" s="3" t="s">
        <v>187</v>
      </c>
      <c r="C155" s="3" t="s">
        <v>6</v>
      </c>
      <c r="D155" s="3" t="s">
        <v>9</v>
      </c>
      <c r="E155" s="3" t="s">
        <v>192</v>
      </c>
    </row>
    <row r="156" ht="22.5" customHeight="1">
      <c r="A156" s="2">
        <v>45173.596570243055</v>
      </c>
      <c r="B156" s="3" t="s">
        <v>187</v>
      </c>
      <c r="C156" s="3" t="s">
        <v>15</v>
      </c>
      <c r="D156" s="3" t="s">
        <v>9</v>
      </c>
      <c r="E156" s="3" t="s">
        <v>193</v>
      </c>
    </row>
    <row r="157" ht="22.5" customHeight="1">
      <c r="A157" s="2">
        <v>45237.41309059028</v>
      </c>
      <c r="B157" s="3" t="s">
        <v>187</v>
      </c>
      <c r="C157" s="3" t="s">
        <v>15</v>
      </c>
      <c r="D157" s="3" t="s">
        <v>9</v>
      </c>
      <c r="E157" s="3" t="s">
        <v>194</v>
      </c>
    </row>
    <row r="158" ht="22.5" customHeight="1">
      <c r="A158" s="2">
        <v>45278.53498966435</v>
      </c>
      <c r="B158" s="3" t="s">
        <v>187</v>
      </c>
      <c r="C158" s="3" t="s">
        <v>15</v>
      </c>
      <c r="D158" s="3" t="s">
        <v>18</v>
      </c>
      <c r="E158" s="3" t="s">
        <v>195</v>
      </c>
    </row>
    <row r="159" ht="22.5" customHeight="1">
      <c r="A159" s="2">
        <v>45614.43671165509</v>
      </c>
      <c r="B159" s="3" t="s">
        <v>187</v>
      </c>
      <c r="C159" s="3" t="s">
        <v>6</v>
      </c>
      <c r="D159" s="3" t="s">
        <v>34</v>
      </c>
      <c r="E159" s="3" t="s">
        <v>196</v>
      </c>
    </row>
    <row r="160" ht="22.5" customHeight="1">
      <c r="A160" s="2">
        <v>45616.427729849536</v>
      </c>
      <c r="B160" s="3" t="s">
        <v>187</v>
      </c>
      <c r="C160" s="3" t="s">
        <v>6</v>
      </c>
      <c r="D160" s="3" t="s">
        <v>12</v>
      </c>
      <c r="E160" s="3" t="s">
        <v>197</v>
      </c>
    </row>
    <row r="161" ht="22.5" customHeight="1">
      <c r="A161" s="2">
        <v>45616.46222850695</v>
      </c>
      <c r="B161" s="3" t="s">
        <v>187</v>
      </c>
      <c r="C161" s="3" t="s">
        <v>6</v>
      </c>
      <c r="D161" s="3" t="s">
        <v>12</v>
      </c>
    </row>
    <row r="162" ht="22.5" customHeight="1">
      <c r="A162" s="2">
        <v>45631.431358368056</v>
      </c>
      <c r="B162" s="3" t="s">
        <v>187</v>
      </c>
      <c r="C162" s="3" t="s">
        <v>6</v>
      </c>
      <c r="D162" s="3" t="s">
        <v>12</v>
      </c>
      <c r="E162" s="3" t="s">
        <v>198</v>
      </c>
    </row>
    <row r="163" ht="22.5" customHeight="1">
      <c r="A163" s="2">
        <v>45755.47617494213</v>
      </c>
      <c r="B163" s="3" t="s">
        <v>187</v>
      </c>
      <c r="C163" s="3" t="s">
        <v>6</v>
      </c>
      <c r="D163" s="3" t="s">
        <v>20</v>
      </c>
      <c r="E163" s="3" t="s">
        <v>199</v>
      </c>
    </row>
    <row r="164" ht="22.5" customHeight="1">
      <c r="A164" s="2">
        <v>45755.495385752314</v>
      </c>
      <c r="B164" s="3" t="s">
        <v>187</v>
      </c>
      <c r="C164" s="3" t="s">
        <v>6</v>
      </c>
      <c r="D164" s="3" t="s">
        <v>20</v>
      </c>
      <c r="E164" s="3" t="s">
        <v>200</v>
      </c>
    </row>
    <row r="165" ht="22.5" customHeight="1">
      <c r="A165" s="2">
        <v>45757.48577222222</v>
      </c>
      <c r="B165" s="3" t="s">
        <v>187</v>
      </c>
      <c r="C165" s="3" t="s">
        <v>6</v>
      </c>
      <c r="D165" s="3" t="s">
        <v>9</v>
      </c>
      <c r="E165" s="3" t="s">
        <v>72</v>
      </c>
    </row>
    <row r="166" ht="22.5" customHeight="1">
      <c r="A166" s="2">
        <v>45820.42775109954</v>
      </c>
      <c r="B166" s="3" t="s">
        <v>187</v>
      </c>
      <c r="C166" s="3" t="s">
        <v>6</v>
      </c>
      <c r="D166" s="3" t="s">
        <v>22</v>
      </c>
      <c r="E166" s="3" t="s">
        <v>201</v>
      </c>
    </row>
    <row r="167" ht="22.5" customHeight="1">
      <c r="A167" s="2">
        <v>45820.572256562504</v>
      </c>
      <c r="B167" s="3" t="s">
        <v>187</v>
      </c>
      <c r="C167" s="3" t="s">
        <v>6</v>
      </c>
      <c r="D167" s="3" t="s">
        <v>22</v>
      </c>
    </row>
    <row r="168" ht="22.5" customHeight="1">
      <c r="A168" s="2">
        <v>45883.57497405093</v>
      </c>
      <c r="B168" s="3" t="s">
        <v>187</v>
      </c>
      <c r="C168" s="3" t="s">
        <v>6</v>
      </c>
      <c r="D168" s="3" t="s">
        <v>30</v>
      </c>
      <c r="E168" s="3" t="s">
        <v>202</v>
      </c>
    </row>
    <row r="169" ht="22.5" customHeight="1">
      <c r="A169" s="2">
        <v>45911.698796192126</v>
      </c>
      <c r="B169" s="3" t="s">
        <v>187</v>
      </c>
      <c r="C169" s="3" t="s">
        <v>6</v>
      </c>
      <c r="D169" s="3" t="s">
        <v>32</v>
      </c>
      <c r="E169" s="3" t="s">
        <v>203</v>
      </c>
    </row>
    <row r="170" ht="22.5" customHeight="1">
      <c r="A170" s="2">
        <v>44873.546564641205</v>
      </c>
      <c r="B170" s="3" t="s">
        <v>204</v>
      </c>
      <c r="C170" s="3" t="s">
        <v>6</v>
      </c>
      <c r="D170" s="3" t="s">
        <v>132</v>
      </c>
      <c r="E170" s="3" t="s">
        <v>133</v>
      </c>
    </row>
    <row r="171" ht="22.5" customHeight="1">
      <c r="A171" s="2">
        <v>44873.62455399305</v>
      </c>
      <c r="B171" s="3" t="s">
        <v>204</v>
      </c>
      <c r="C171" s="3" t="s">
        <v>42</v>
      </c>
      <c r="D171" s="3" t="s">
        <v>7</v>
      </c>
      <c r="E171" s="3" t="s">
        <v>205</v>
      </c>
    </row>
    <row r="172" ht="22.5" customHeight="1">
      <c r="A172" s="2">
        <v>44936.604879189814</v>
      </c>
      <c r="B172" s="3" t="s">
        <v>204</v>
      </c>
      <c r="C172" s="3" t="s">
        <v>6</v>
      </c>
      <c r="D172" s="3" t="s">
        <v>9</v>
      </c>
      <c r="E172" s="3" t="s">
        <v>206</v>
      </c>
    </row>
    <row r="173" ht="22.5" customHeight="1">
      <c r="A173" s="2">
        <v>45012.70947072917</v>
      </c>
      <c r="B173" s="3" t="s">
        <v>204</v>
      </c>
      <c r="C173" s="3" t="s">
        <v>6</v>
      </c>
      <c r="D173" s="3" t="s">
        <v>9</v>
      </c>
      <c r="E173" s="3" t="s">
        <v>207</v>
      </c>
    </row>
    <row r="174" ht="22.5" customHeight="1">
      <c r="A174" s="2">
        <v>45041.54882185185</v>
      </c>
      <c r="B174" s="3" t="s">
        <v>204</v>
      </c>
      <c r="C174" s="3" t="s">
        <v>42</v>
      </c>
      <c r="D174" s="3" t="s">
        <v>12</v>
      </c>
      <c r="E174" s="3" t="s">
        <v>46</v>
      </c>
    </row>
    <row r="175" ht="22.5" customHeight="1">
      <c r="A175" s="2">
        <v>45351.41106268518</v>
      </c>
      <c r="B175" s="3" t="s">
        <v>204</v>
      </c>
      <c r="C175" s="3" t="s">
        <v>15</v>
      </c>
      <c r="D175" s="3" t="s">
        <v>43</v>
      </c>
      <c r="E175" s="3" t="s">
        <v>208</v>
      </c>
    </row>
    <row r="176" ht="22.5" customHeight="1">
      <c r="A176" s="2">
        <v>45352.36371628472</v>
      </c>
      <c r="B176" s="3" t="s">
        <v>204</v>
      </c>
      <c r="C176" s="3" t="s">
        <v>42</v>
      </c>
      <c r="D176" s="3" t="s">
        <v>9</v>
      </c>
      <c r="E176" s="3" t="s">
        <v>48</v>
      </c>
    </row>
    <row r="177" ht="22.5" customHeight="1">
      <c r="A177" s="2">
        <v>45610.633447824075</v>
      </c>
      <c r="B177" s="3" t="s">
        <v>204</v>
      </c>
      <c r="C177" s="3" t="s">
        <v>6</v>
      </c>
      <c r="D177" s="3" t="s">
        <v>32</v>
      </c>
      <c r="E177" s="3" t="s">
        <v>209</v>
      </c>
    </row>
    <row r="178" ht="22.5" customHeight="1">
      <c r="A178" s="2">
        <v>45611.63087717592</v>
      </c>
      <c r="B178" s="3" t="s">
        <v>204</v>
      </c>
      <c r="C178" s="3" t="s">
        <v>6</v>
      </c>
      <c r="D178" s="3" t="s">
        <v>22</v>
      </c>
      <c r="E178" s="3" t="s">
        <v>210</v>
      </c>
    </row>
    <row r="179" ht="22.5" customHeight="1">
      <c r="A179" s="2">
        <v>45614.39815956018</v>
      </c>
      <c r="B179" s="3" t="s">
        <v>204</v>
      </c>
      <c r="C179" s="3" t="s">
        <v>6</v>
      </c>
      <c r="D179" s="3" t="s">
        <v>43</v>
      </c>
      <c r="E179" s="3" t="s">
        <v>211</v>
      </c>
    </row>
    <row r="180" ht="22.5" customHeight="1">
      <c r="A180" s="2">
        <v>45629.643610416664</v>
      </c>
      <c r="B180" s="3" t="s">
        <v>204</v>
      </c>
      <c r="C180" s="3" t="s">
        <v>6</v>
      </c>
      <c r="D180" s="3" t="s">
        <v>12</v>
      </c>
      <c r="E180" s="3" t="s">
        <v>212</v>
      </c>
    </row>
    <row r="181" ht="22.5" customHeight="1">
      <c r="A181" s="2">
        <v>45630.66491644676</v>
      </c>
      <c r="B181" s="3" t="s">
        <v>204</v>
      </c>
      <c r="C181" s="3" t="s">
        <v>6</v>
      </c>
      <c r="D181" s="3" t="s">
        <v>25</v>
      </c>
      <c r="E181" s="3" t="s">
        <v>213</v>
      </c>
    </row>
    <row r="182" ht="22.5" customHeight="1">
      <c r="A182" s="2">
        <v>45755.46087340278</v>
      </c>
      <c r="B182" s="3" t="s">
        <v>204</v>
      </c>
      <c r="C182" s="3" t="s">
        <v>6</v>
      </c>
      <c r="D182" s="3" t="s">
        <v>32</v>
      </c>
      <c r="E182" s="3" t="s">
        <v>214</v>
      </c>
    </row>
    <row r="183" ht="22.5" customHeight="1">
      <c r="A183" s="2">
        <v>45755.49566162037</v>
      </c>
      <c r="B183" s="3" t="s">
        <v>204</v>
      </c>
      <c r="C183" s="3" t="s">
        <v>6</v>
      </c>
      <c r="D183" s="3" t="s">
        <v>20</v>
      </c>
      <c r="E183" s="3" t="s">
        <v>215</v>
      </c>
    </row>
    <row r="184" ht="22.5" customHeight="1">
      <c r="A184" s="2">
        <v>45755.578603483795</v>
      </c>
      <c r="B184" s="3" t="s">
        <v>204</v>
      </c>
      <c r="C184" s="3" t="s">
        <v>6</v>
      </c>
      <c r="D184" s="3" t="s">
        <v>20</v>
      </c>
    </row>
    <row r="185" ht="22.5" customHeight="1">
      <c r="A185" s="2">
        <v>45757.41363520833</v>
      </c>
      <c r="B185" s="3" t="s">
        <v>204</v>
      </c>
      <c r="C185" s="3" t="s">
        <v>6</v>
      </c>
      <c r="D185" s="3" t="s">
        <v>9</v>
      </c>
      <c r="E185" s="3" t="s">
        <v>52</v>
      </c>
    </row>
    <row r="186" ht="22.5" customHeight="1">
      <c r="A186" s="2">
        <v>45820.387893900464</v>
      </c>
      <c r="B186" s="3" t="s">
        <v>204</v>
      </c>
      <c r="C186" s="3" t="s">
        <v>6</v>
      </c>
      <c r="D186" s="3" t="s">
        <v>9</v>
      </c>
      <c r="E186" s="3" t="s">
        <v>216</v>
      </c>
    </row>
    <row r="187" ht="22.5" customHeight="1">
      <c r="A187" s="2">
        <v>45874.37855528935</v>
      </c>
      <c r="B187" s="3" t="s">
        <v>204</v>
      </c>
      <c r="C187" s="3" t="s">
        <v>6</v>
      </c>
      <c r="D187" s="3" t="s">
        <v>30</v>
      </c>
      <c r="E187" s="3" t="s">
        <v>217</v>
      </c>
    </row>
    <row r="188" ht="22.5" customHeight="1">
      <c r="A188" s="2">
        <v>45911.64909359954</v>
      </c>
      <c r="B188" s="3" t="s">
        <v>204</v>
      </c>
      <c r="C188" s="3" t="s">
        <v>6</v>
      </c>
      <c r="D188" s="3" t="s">
        <v>32</v>
      </c>
      <c r="E188" s="3" t="s">
        <v>218</v>
      </c>
    </row>
    <row r="189" ht="22.5" customHeight="1">
      <c r="A189" s="2">
        <v>45951.64352373843</v>
      </c>
      <c r="B189" s="3" t="s">
        <v>204</v>
      </c>
      <c r="C189" s="3" t="s">
        <v>6</v>
      </c>
      <c r="D189" s="3" t="s">
        <v>43</v>
      </c>
      <c r="E189" s="3" t="s">
        <v>219</v>
      </c>
    </row>
    <row r="190" ht="22.5" customHeight="1">
      <c r="A190" s="2">
        <v>45965.42020815972</v>
      </c>
      <c r="B190" s="3" t="s">
        <v>204</v>
      </c>
      <c r="C190" s="3" t="s">
        <v>6</v>
      </c>
      <c r="D190" s="3" t="s">
        <v>34</v>
      </c>
      <c r="E190" s="3" t="s">
        <v>220</v>
      </c>
    </row>
    <row r="191" ht="22.5" customHeight="1">
      <c r="A191" s="2">
        <v>44901.69623162037</v>
      </c>
      <c r="B191" s="3" t="s">
        <v>221</v>
      </c>
      <c r="C191" s="3" t="s">
        <v>6</v>
      </c>
      <c r="D191" s="3" t="s">
        <v>40</v>
      </c>
      <c r="E191" s="3" t="s">
        <v>41</v>
      </c>
    </row>
    <row r="192" ht="22.5" customHeight="1">
      <c r="A192" s="2">
        <v>44909.441885381944</v>
      </c>
      <c r="B192" s="3" t="s">
        <v>221</v>
      </c>
      <c r="C192" s="3" t="s">
        <v>42</v>
      </c>
      <c r="D192" s="3" t="s">
        <v>43</v>
      </c>
      <c r="E192" s="3" t="s">
        <v>222</v>
      </c>
    </row>
    <row r="193" ht="22.5" customHeight="1">
      <c r="A193" s="2">
        <v>44986.39357934028</v>
      </c>
      <c r="B193" s="3" t="s">
        <v>221</v>
      </c>
      <c r="C193" s="3" t="s">
        <v>42</v>
      </c>
      <c r="D193" s="3" t="s">
        <v>9</v>
      </c>
      <c r="E193" s="3" t="s">
        <v>223</v>
      </c>
    </row>
    <row r="194" ht="22.5" customHeight="1">
      <c r="A194" s="2">
        <v>45041.55002200231</v>
      </c>
      <c r="B194" s="3" t="s">
        <v>221</v>
      </c>
      <c r="C194" s="3" t="s">
        <v>42</v>
      </c>
      <c r="D194" s="3" t="s">
        <v>12</v>
      </c>
      <c r="E194" s="3" t="s">
        <v>46</v>
      </c>
    </row>
    <row r="195" ht="22.5" customHeight="1">
      <c r="A195" s="2">
        <v>45195.45438613426</v>
      </c>
      <c r="B195" s="3" t="s">
        <v>221</v>
      </c>
      <c r="C195" s="3" t="s">
        <v>15</v>
      </c>
      <c r="D195" s="3" t="s">
        <v>224</v>
      </c>
      <c r="E195" s="3" t="s">
        <v>225</v>
      </c>
    </row>
    <row r="196" ht="22.5" customHeight="1">
      <c r="A196" s="2">
        <v>45237.465617766204</v>
      </c>
      <c r="B196" s="3" t="s">
        <v>221</v>
      </c>
      <c r="C196" s="3" t="s">
        <v>15</v>
      </c>
      <c r="D196" s="3" t="s">
        <v>18</v>
      </c>
      <c r="E196" s="3" t="s">
        <v>226</v>
      </c>
    </row>
    <row r="197" ht="22.5" customHeight="1">
      <c r="A197" s="2">
        <v>45616.654571493054</v>
      </c>
      <c r="B197" s="3" t="s">
        <v>221</v>
      </c>
      <c r="C197" s="3" t="s">
        <v>6</v>
      </c>
      <c r="D197" s="3" t="s">
        <v>20</v>
      </c>
      <c r="E197" s="3" t="s">
        <v>227</v>
      </c>
    </row>
    <row r="198" ht="22.5" customHeight="1">
      <c r="A198" s="2">
        <v>45621.57953920139</v>
      </c>
      <c r="B198" s="3" t="s">
        <v>221</v>
      </c>
      <c r="C198" s="3" t="s">
        <v>42</v>
      </c>
      <c r="D198" s="3" t="s">
        <v>228</v>
      </c>
      <c r="E198" s="3" t="s">
        <v>229</v>
      </c>
    </row>
    <row r="199" ht="22.5" customHeight="1">
      <c r="A199" s="2">
        <v>45623.59602844907</v>
      </c>
      <c r="B199" s="3" t="s">
        <v>221</v>
      </c>
      <c r="C199" s="3" t="s">
        <v>6</v>
      </c>
      <c r="D199" s="3" t="s">
        <v>12</v>
      </c>
      <c r="E199" s="3" t="s">
        <v>230</v>
      </c>
    </row>
    <row r="200" ht="22.5" customHeight="1">
      <c r="A200" s="2">
        <v>45630.66564648148</v>
      </c>
      <c r="B200" s="3" t="s">
        <v>221</v>
      </c>
      <c r="C200" s="3" t="s">
        <v>6</v>
      </c>
      <c r="D200" s="3" t="s">
        <v>25</v>
      </c>
      <c r="E200" s="3" t="s">
        <v>231</v>
      </c>
    </row>
    <row r="201" ht="22.5" customHeight="1">
      <c r="A201" s="2">
        <v>45756.428977662035</v>
      </c>
      <c r="B201" s="3" t="s">
        <v>221</v>
      </c>
      <c r="C201" s="3" t="s">
        <v>6</v>
      </c>
      <c r="D201" s="3" t="s">
        <v>20</v>
      </c>
      <c r="E201" s="3" t="s">
        <v>232</v>
      </c>
    </row>
    <row r="202" ht="22.5" customHeight="1">
      <c r="A202" s="2">
        <v>45757.418752060184</v>
      </c>
      <c r="B202" s="3" t="s">
        <v>221</v>
      </c>
      <c r="C202" s="3" t="s">
        <v>6</v>
      </c>
      <c r="D202" s="3" t="s">
        <v>9</v>
      </c>
      <c r="E202" s="3" t="s">
        <v>233</v>
      </c>
    </row>
    <row r="203" ht="22.5" customHeight="1">
      <c r="A203" s="2">
        <v>45831.426713506946</v>
      </c>
      <c r="B203" s="3" t="s">
        <v>221</v>
      </c>
      <c r="C203" s="3" t="s">
        <v>6</v>
      </c>
      <c r="D203" s="3" t="s">
        <v>9</v>
      </c>
      <c r="E203" s="3" t="s">
        <v>234</v>
      </c>
    </row>
    <row r="204" ht="22.5" customHeight="1">
      <c r="A204" s="2">
        <v>45874.40380650463</v>
      </c>
      <c r="B204" s="3" t="s">
        <v>221</v>
      </c>
      <c r="C204" s="3" t="s">
        <v>6</v>
      </c>
      <c r="D204" s="3" t="s">
        <v>30</v>
      </c>
      <c r="E204" s="3" t="s">
        <v>235</v>
      </c>
    </row>
    <row r="205" ht="22.5" customHeight="1">
      <c r="A205" s="2">
        <v>45930.503946261575</v>
      </c>
      <c r="B205" s="3" t="s">
        <v>221</v>
      </c>
      <c r="C205" s="3" t="s">
        <v>6</v>
      </c>
      <c r="D205" s="3" t="s">
        <v>236</v>
      </c>
      <c r="E205" s="3" t="s">
        <v>237</v>
      </c>
    </row>
    <row r="206" ht="22.5" customHeight="1">
      <c r="A206" s="2">
        <v>45943.406594687505</v>
      </c>
      <c r="B206" s="3" t="s">
        <v>221</v>
      </c>
      <c r="C206" s="3" t="s">
        <v>6</v>
      </c>
      <c r="D206" s="3" t="s">
        <v>25</v>
      </c>
      <c r="E206" s="3" t="s">
        <v>238</v>
      </c>
    </row>
    <row r="207" ht="22.5" customHeight="1">
      <c r="A207" s="2">
        <v>45965.38606983796</v>
      </c>
      <c r="B207" s="3" t="s">
        <v>221</v>
      </c>
      <c r="C207" s="3" t="s">
        <v>6</v>
      </c>
      <c r="D207" s="3" t="s">
        <v>239</v>
      </c>
      <c r="E207" s="3" t="s">
        <v>240</v>
      </c>
    </row>
    <row r="208" ht="22.5" customHeight="1">
      <c r="A208" s="4">
        <v>46086.553805</v>
      </c>
      <c r="B208" s="5" t="s">
        <v>221</v>
      </c>
      <c r="C208" s="5" t="s">
        <v>241</v>
      </c>
      <c r="D208" s="5" t="s">
        <v>37</v>
      </c>
      <c r="E208" s="5" t="s">
        <v>242</v>
      </c>
    </row>
    <row r="209" ht="22.5" customHeight="1">
      <c r="A209" s="4">
        <v>46113.32754346065</v>
      </c>
      <c r="B209" s="5" t="s">
        <v>131</v>
      </c>
      <c r="C209" s="5" t="s">
        <v>6</v>
      </c>
      <c r="D209" s="5" t="s">
        <v>243</v>
      </c>
      <c r="E209" s="5" t="s">
        <v>244</v>
      </c>
    </row>
    <row r="210" ht="22.5" customHeight="1">
      <c r="A210" s="4">
        <v>46113.358949305555</v>
      </c>
      <c r="B210" s="5" t="s">
        <v>204</v>
      </c>
      <c r="C210" s="5" t="s">
        <v>6</v>
      </c>
      <c r="D210" s="5" t="s">
        <v>245</v>
      </c>
      <c r="E210" s="5" t="s">
        <v>246</v>
      </c>
    </row>
    <row r="211" ht="22.5" customHeight="1">
      <c r="A211" s="4">
        <v>46113.383025625</v>
      </c>
      <c r="B211" s="5" t="s">
        <v>60</v>
      </c>
      <c r="C211" s="5" t="s">
        <v>6</v>
      </c>
      <c r="D211" s="5" t="s">
        <v>247</v>
      </c>
      <c r="E211" s="5" t="s">
        <v>248</v>
      </c>
    </row>
    <row r="212" ht="22.5" customHeight="1">
      <c r="A212" s="4">
        <v>46114.47333482638</v>
      </c>
      <c r="B212" s="5" t="s">
        <v>5</v>
      </c>
      <c r="C212" s="5" t="s">
        <v>127</v>
      </c>
      <c r="D212" s="5" t="s">
        <v>9</v>
      </c>
      <c r="E212" s="5" t="s">
        <v>249</v>
      </c>
    </row>
    <row r="213" ht="22.5" customHeight="1">
      <c r="A213" s="4">
        <v>46114.474741770835</v>
      </c>
      <c r="B213" s="5" t="s">
        <v>221</v>
      </c>
      <c r="C213" s="5" t="s">
        <v>127</v>
      </c>
      <c r="D213" s="5" t="s">
        <v>9</v>
      </c>
      <c r="E213" s="5" t="s">
        <v>250</v>
      </c>
    </row>
    <row r="214" ht="22.5" customHeight="1">
      <c r="A214" s="4">
        <v>46128.37899950231</v>
      </c>
      <c r="B214" s="5" t="s">
        <v>97</v>
      </c>
      <c r="C214" s="5" t="s">
        <v>6</v>
      </c>
      <c r="D214" s="5" t="s">
        <v>9</v>
      </c>
      <c r="E214" s="5" t="s">
        <v>251</v>
      </c>
    </row>
    <row r="215" ht="22.5" customHeight="1">
      <c r="A215" s="6"/>
      <c r="B215" s="3"/>
      <c r="C215" s="3"/>
      <c r="D215" s="3"/>
      <c r="E215" s="3"/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8.88"/>
    <col customWidth="1" min="4" max="4" width="30.88"/>
    <col customWidth="1" min="5" max="5" width="76.0"/>
    <col customWidth="1" min="6" max="6" width="18.88"/>
  </cols>
  <sheetData>
    <row r="1" ht="15.75" customHeight="1">
      <c r="A1" s="7" t="s">
        <v>252</v>
      </c>
      <c r="B1" s="7" t="s">
        <v>1</v>
      </c>
      <c r="C1" s="7" t="s">
        <v>2</v>
      </c>
      <c r="D1" s="7" t="s">
        <v>3</v>
      </c>
      <c r="E1" s="7" t="s">
        <v>4</v>
      </c>
    </row>
    <row r="2" ht="15.75" customHeight="1">
      <c r="A2" s="8">
        <v>44861.46472222222</v>
      </c>
      <c r="B2" s="7" t="s">
        <v>150</v>
      </c>
      <c r="C2" s="7" t="s">
        <v>6</v>
      </c>
      <c r="D2" s="7" t="s">
        <v>43</v>
      </c>
      <c r="E2" s="7" t="s">
        <v>151</v>
      </c>
    </row>
    <row r="3" ht="15.75" customHeight="1">
      <c r="A3" s="8">
        <v>44873.54609884259</v>
      </c>
      <c r="B3" s="7" t="s">
        <v>187</v>
      </c>
      <c r="C3" s="7" t="s">
        <v>6</v>
      </c>
      <c r="D3" s="7" t="s">
        <v>132</v>
      </c>
      <c r="E3" s="7" t="s">
        <v>133</v>
      </c>
    </row>
    <row r="4" ht="15.75" customHeight="1">
      <c r="A4" s="8">
        <v>44873.546564641205</v>
      </c>
      <c r="B4" s="7" t="s">
        <v>204</v>
      </c>
      <c r="C4" s="7" t="s">
        <v>6</v>
      </c>
      <c r="D4" s="7" t="s">
        <v>132</v>
      </c>
      <c r="E4" s="7" t="s">
        <v>133</v>
      </c>
    </row>
    <row r="5" ht="15.75" customHeight="1">
      <c r="A5" s="8">
        <v>44873.546784363425</v>
      </c>
      <c r="B5" s="7" t="s">
        <v>131</v>
      </c>
      <c r="C5" s="7" t="s">
        <v>6</v>
      </c>
      <c r="D5" s="7" t="s">
        <v>132</v>
      </c>
      <c r="E5" s="7" t="s">
        <v>133</v>
      </c>
    </row>
    <row r="6" ht="15.75" customHeight="1">
      <c r="A6" s="8">
        <v>44873.547104108795</v>
      </c>
      <c r="B6" s="7" t="s">
        <v>171</v>
      </c>
      <c r="C6" s="7" t="s">
        <v>6</v>
      </c>
      <c r="D6" s="7" t="s">
        <v>132</v>
      </c>
      <c r="E6" s="7" t="s">
        <v>133</v>
      </c>
    </row>
    <row r="7" ht="15.75" customHeight="1">
      <c r="A7" s="8">
        <v>44873.62455399305</v>
      </c>
      <c r="B7" s="7" t="s">
        <v>204</v>
      </c>
      <c r="C7" s="7" t="s">
        <v>42</v>
      </c>
      <c r="D7" s="7" t="s">
        <v>7</v>
      </c>
      <c r="E7" s="7" t="s">
        <v>205</v>
      </c>
    </row>
    <row r="8" ht="15.75" customHeight="1">
      <c r="A8" s="8">
        <v>44873.639025462966</v>
      </c>
      <c r="B8" s="7" t="s">
        <v>171</v>
      </c>
      <c r="C8" s="7" t="s">
        <v>6</v>
      </c>
      <c r="D8" s="7" t="s">
        <v>43</v>
      </c>
      <c r="E8" s="7" t="s">
        <v>172</v>
      </c>
    </row>
    <row r="9" ht="15.75" customHeight="1">
      <c r="A9" s="8">
        <v>44873.66374722222</v>
      </c>
      <c r="B9" s="7" t="s">
        <v>187</v>
      </c>
      <c r="C9" s="7" t="s">
        <v>6</v>
      </c>
      <c r="D9" s="7" t="s">
        <v>134</v>
      </c>
      <c r="E9" s="7" t="s">
        <v>188</v>
      </c>
    </row>
    <row r="10" ht="15.75" customHeight="1">
      <c r="A10" s="8">
        <v>44873.67971384259</v>
      </c>
      <c r="B10" s="7" t="s">
        <v>131</v>
      </c>
      <c r="C10" s="7" t="s">
        <v>42</v>
      </c>
      <c r="D10" s="7" t="s">
        <v>134</v>
      </c>
      <c r="E10" s="7" t="s">
        <v>135</v>
      </c>
    </row>
    <row r="11" ht="15.75" customHeight="1">
      <c r="A11" s="8">
        <v>44875.65998052083</v>
      </c>
      <c r="B11" s="7" t="s">
        <v>97</v>
      </c>
      <c r="C11" s="7" t="s">
        <v>6</v>
      </c>
      <c r="D11" s="7" t="s">
        <v>98</v>
      </c>
      <c r="E11" s="7" t="s">
        <v>99</v>
      </c>
    </row>
    <row r="12" ht="15.75" customHeight="1">
      <c r="A12" s="8">
        <v>44875.682340150466</v>
      </c>
      <c r="B12" s="7" t="s">
        <v>97</v>
      </c>
      <c r="C12" s="7" t="s">
        <v>42</v>
      </c>
      <c r="D12" s="7" t="s">
        <v>7</v>
      </c>
      <c r="E12" s="7" t="s">
        <v>100</v>
      </c>
    </row>
    <row r="13" ht="15.75" customHeight="1">
      <c r="A13" s="8">
        <v>44880.62723515046</v>
      </c>
      <c r="B13" s="7" t="s">
        <v>97</v>
      </c>
      <c r="C13" s="7" t="s">
        <v>6</v>
      </c>
      <c r="D13" s="7" t="s">
        <v>9</v>
      </c>
      <c r="E13" s="7" t="s">
        <v>101</v>
      </c>
    </row>
    <row r="14" ht="15.75" customHeight="1">
      <c r="A14" s="8">
        <v>44880.65743233796</v>
      </c>
      <c r="B14" s="7" t="s">
        <v>97</v>
      </c>
      <c r="C14" s="7" t="s">
        <v>6</v>
      </c>
      <c r="D14" s="7" t="s">
        <v>102</v>
      </c>
      <c r="E14" s="7" t="s">
        <v>103</v>
      </c>
    </row>
    <row r="15" ht="15.75" customHeight="1">
      <c r="A15" s="8">
        <v>44890.48371958333</v>
      </c>
      <c r="B15" s="7" t="s">
        <v>150</v>
      </c>
      <c r="C15" s="7" t="s">
        <v>6</v>
      </c>
      <c r="D15" s="7" t="s">
        <v>152</v>
      </c>
      <c r="E15" s="7" t="s">
        <v>153</v>
      </c>
    </row>
    <row r="16" ht="15.75" customHeight="1">
      <c r="A16" s="8">
        <v>44894.61678251157</v>
      </c>
      <c r="B16" s="7" t="s">
        <v>79</v>
      </c>
      <c r="C16" s="7" t="s">
        <v>6</v>
      </c>
      <c r="D16" s="7" t="s">
        <v>7</v>
      </c>
      <c r="E16" s="7" t="s">
        <v>80</v>
      </c>
    </row>
    <row r="17" ht="15.75" customHeight="1">
      <c r="A17" s="8">
        <v>44894.63291458333</v>
      </c>
      <c r="B17" s="7" t="s">
        <v>60</v>
      </c>
      <c r="C17" s="7" t="s">
        <v>6</v>
      </c>
      <c r="D17" s="7" t="s">
        <v>7</v>
      </c>
      <c r="E17" s="7" t="s">
        <v>8</v>
      </c>
    </row>
    <row r="18" ht="15.75" customHeight="1">
      <c r="A18" s="8">
        <v>44894.66888508102</v>
      </c>
      <c r="B18" s="7" t="s">
        <v>5</v>
      </c>
      <c r="C18" s="7" t="s">
        <v>6</v>
      </c>
      <c r="D18" s="7" t="s">
        <v>7</v>
      </c>
      <c r="E18" s="7" t="s">
        <v>8</v>
      </c>
    </row>
    <row r="19" ht="15.75" customHeight="1">
      <c r="A19" s="8">
        <v>44901.69623162037</v>
      </c>
      <c r="B19" s="7" t="s">
        <v>221</v>
      </c>
      <c r="C19" s="7" t="s">
        <v>6</v>
      </c>
      <c r="D19" s="7" t="s">
        <v>40</v>
      </c>
      <c r="E19" s="7" t="s">
        <v>41</v>
      </c>
    </row>
    <row r="20" ht="15.75" customHeight="1">
      <c r="A20" s="8">
        <v>44901.69646760417</v>
      </c>
      <c r="B20" s="7" t="s">
        <v>39</v>
      </c>
      <c r="C20" s="7" t="s">
        <v>6</v>
      </c>
      <c r="D20" s="7" t="s">
        <v>40</v>
      </c>
      <c r="E20" s="7" t="s">
        <v>41</v>
      </c>
    </row>
    <row r="21" ht="15.75" customHeight="1">
      <c r="A21" s="8">
        <v>44902.43176399305</v>
      </c>
      <c r="B21" s="7" t="s">
        <v>187</v>
      </c>
      <c r="C21" s="7" t="s">
        <v>42</v>
      </c>
      <c r="D21" s="7" t="s">
        <v>32</v>
      </c>
      <c r="E21" s="7" t="s">
        <v>189</v>
      </c>
    </row>
    <row r="22" ht="15.75" customHeight="1">
      <c r="A22" s="8">
        <v>44902.43336834491</v>
      </c>
      <c r="B22" s="7" t="s">
        <v>39</v>
      </c>
      <c r="C22" s="7" t="s">
        <v>42</v>
      </c>
      <c r="D22" s="7" t="s">
        <v>43</v>
      </c>
      <c r="E22" s="7" t="s">
        <v>44</v>
      </c>
    </row>
    <row r="23" ht="15.75" customHeight="1">
      <c r="A23" s="8">
        <v>44909.441885381944</v>
      </c>
      <c r="B23" s="7" t="s">
        <v>221</v>
      </c>
      <c r="C23" s="7" t="s">
        <v>42</v>
      </c>
      <c r="D23" s="7" t="s">
        <v>43</v>
      </c>
      <c r="E23" s="7" t="s">
        <v>222</v>
      </c>
    </row>
    <row r="24" ht="15.75" customHeight="1">
      <c r="A24" s="8">
        <v>44936.604879189814</v>
      </c>
      <c r="B24" s="7" t="s">
        <v>204</v>
      </c>
      <c r="C24" s="7" t="s">
        <v>6</v>
      </c>
      <c r="D24" s="7" t="s">
        <v>9</v>
      </c>
      <c r="E24" s="7" t="s">
        <v>206</v>
      </c>
    </row>
    <row r="25" ht="15.75" customHeight="1">
      <c r="A25" s="8">
        <v>44936.61972824074</v>
      </c>
      <c r="B25" s="7" t="s">
        <v>171</v>
      </c>
      <c r="C25" s="7" t="s">
        <v>6</v>
      </c>
      <c r="D25" s="7" t="s">
        <v>9</v>
      </c>
      <c r="E25" s="7" t="s">
        <v>173</v>
      </c>
    </row>
    <row r="26" ht="15.75" customHeight="1">
      <c r="A26" s="8">
        <v>44936.65981244213</v>
      </c>
      <c r="B26" s="7" t="s">
        <v>187</v>
      </c>
      <c r="C26" s="7" t="s">
        <v>6</v>
      </c>
      <c r="D26" s="7" t="s">
        <v>9</v>
      </c>
      <c r="E26" s="7" t="s">
        <v>190</v>
      </c>
    </row>
    <row r="27" ht="15.75" customHeight="1">
      <c r="A27" s="8">
        <v>44944.69102174768</v>
      </c>
      <c r="B27" s="7" t="s">
        <v>150</v>
      </c>
      <c r="C27" s="7" t="s">
        <v>6</v>
      </c>
      <c r="D27" s="7" t="s">
        <v>9</v>
      </c>
      <c r="E27" s="7" t="s">
        <v>154</v>
      </c>
    </row>
    <row r="28" ht="15.75" customHeight="1">
      <c r="A28" s="8">
        <v>44964.61070907407</v>
      </c>
      <c r="B28" s="7" t="s">
        <v>79</v>
      </c>
      <c r="C28" s="7" t="s">
        <v>6</v>
      </c>
      <c r="D28" s="7" t="s">
        <v>9</v>
      </c>
      <c r="E28" s="7" t="s">
        <v>81</v>
      </c>
    </row>
    <row r="29" ht="15.75" customHeight="1">
      <c r="A29" s="8">
        <v>44964.62618633102</v>
      </c>
      <c r="B29" s="7" t="s">
        <v>60</v>
      </c>
      <c r="C29" s="7" t="s">
        <v>6</v>
      </c>
      <c r="D29" s="7" t="s">
        <v>9</v>
      </c>
      <c r="E29" s="7" t="s">
        <v>61</v>
      </c>
    </row>
    <row r="30" ht="15.75" customHeight="1">
      <c r="A30" s="8">
        <v>44964.6412803125</v>
      </c>
      <c r="B30" s="7" t="s">
        <v>5</v>
      </c>
      <c r="C30" s="7" t="s">
        <v>6</v>
      </c>
      <c r="D30" s="7" t="s">
        <v>9</v>
      </c>
      <c r="E30" s="7" t="s">
        <v>10</v>
      </c>
    </row>
    <row r="31" ht="15.75" customHeight="1">
      <c r="A31" s="8">
        <v>44979.57537438658</v>
      </c>
      <c r="B31" s="7" t="s">
        <v>39</v>
      </c>
      <c r="C31" s="7" t="s">
        <v>42</v>
      </c>
      <c r="D31" s="7" t="s">
        <v>9</v>
      </c>
      <c r="E31" s="7" t="s">
        <v>45</v>
      </c>
    </row>
    <row r="32" ht="15.75" customHeight="1">
      <c r="A32" s="8">
        <v>44986.39357934028</v>
      </c>
      <c r="B32" s="7" t="s">
        <v>221</v>
      </c>
      <c r="C32" s="7" t="s">
        <v>42</v>
      </c>
      <c r="D32" s="7" t="s">
        <v>9</v>
      </c>
      <c r="E32" s="7" t="s">
        <v>223</v>
      </c>
    </row>
    <row r="33" ht="15.75" customHeight="1">
      <c r="A33" s="8">
        <v>45012.64596734954</v>
      </c>
      <c r="B33" s="7" t="s">
        <v>131</v>
      </c>
      <c r="C33" s="7" t="s">
        <v>6</v>
      </c>
      <c r="D33" s="7" t="s">
        <v>9</v>
      </c>
      <c r="E33" s="7" t="s">
        <v>137</v>
      </c>
    </row>
    <row r="34" ht="15.75" customHeight="1">
      <c r="A34" s="8">
        <v>45012.66154094908</v>
      </c>
      <c r="B34" s="7" t="s">
        <v>187</v>
      </c>
      <c r="C34" s="7" t="s">
        <v>6</v>
      </c>
      <c r="D34" s="7" t="s">
        <v>9</v>
      </c>
      <c r="E34" s="7" t="s">
        <v>191</v>
      </c>
    </row>
    <row r="35" ht="15.75" customHeight="1">
      <c r="A35" s="8">
        <v>45012.68839905092</v>
      </c>
      <c r="B35" s="7" t="s">
        <v>171</v>
      </c>
      <c r="C35" s="7" t="s">
        <v>6</v>
      </c>
      <c r="D35" s="7" t="s">
        <v>9</v>
      </c>
      <c r="E35" s="7" t="s">
        <v>174</v>
      </c>
    </row>
    <row r="36" ht="15.75" customHeight="1">
      <c r="A36" s="8">
        <v>45012.70947072917</v>
      </c>
      <c r="B36" s="7" t="s">
        <v>204</v>
      </c>
      <c r="C36" s="7" t="s">
        <v>6</v>
      </c>
      <c r="D36" s="7" t="s">
        <v>9</v>
      </c>
      <c r="E36" s="7" t="s">
        <v>207</v>
      </c>
    </row>
    <row r="37" ht="15.75" customHeight="1">
      <c r="A37" s="8">
        <v>45013.694757523146</v>
      </c>
      <c r="B37" s="7" t="s">
        <v>97</v>
      </c>
      <c r="C37" s="7" t="s">
        <v>6</v>
      </c>
      <c r="D37" s="7" t="s">
        <v>9</v>
      </c>
      <c r="E37" s="7" t="s">
        <v>105</v>
      </c>
    </row>
    <row r="38" ht="15.75" customHeight="1">
      <c r="A38" s="8">
        <v>45014.632805243054</v>
      </c>
      <c r="B38" s="7" t="s">
        <v>79</v>
      </c>
      <c r="C38" s="7" t="s">
        <v>6</v>
      </c>
      <c r="D38" s="7" t="s">
        <v>9</v>
      </c>
      <c r="E38" s="7" t="s">
        <v>82</v>
      </c>
    </row>
    <row r="39" ht="15.75" customHeight="1">
      <c r="A39" s="8">
        <v>45014.649024976854</v>
      </c>
      <c r="B39" s="7" t="s">
        <v>60</v>
      </c>
      <c r="C39" s="7" t="s">
        <v>6</v>
      </c>
      <c r="D39" s="7" t="s">
        <v>9</v>
      </c>
      <c r="E39" s="7" t="s">
        <v>62</v>
      </c>
    </row>
    <row r="40" ht="15.75" customHeight="1">
      <c r="A40" s="8">
        <v>45014.66527354167</v>
      </c>
      <c r="B40" s="7" t="s">
        <v>5</v>
      </c>
      <c r="C40" s="7" t="s">
        <v>6</v>
      </c>
      <c r="D40" s="7" t="s">
        <v>9</v>
      </c>
      <c r="E40" s="7" t="s">
        <v>11</v>
      </c>
    </row>
    <row r="41" ht="15.75" customHeight="1">
      <c r="A41" s="8">
        <v>45030.416676064815</v>
      </c>
      <c r="B41" s="7" t="s">
        <v>150</v>
      </c>
      <c r="C41" s="7" t="s">
        <v>42</v>
      </c>
      <c r="D41" s="7" t="s">
        <v>9</v>
      </c>
      <c r="E41" s="7" t="s">
        <v>155</v>
      </c>
    </row>
    <row r="42" ht="15.75" customHeight="1">
      <c r="A42" s="8">
        <v>45041.54604885417</v>
      </c>
      <c r="B42" s="7" t="s">
        <v>39</v>
      </c>
      <c r="C42" s="7" t="s">
        <v>42</v>
      </c>
      <c r="D42" s="7" t="s">
        <v>12</v>
      </c>
      <c r="E42" s="7" t="s">
        <v>46</v>
      </c>
    </row>
    <row r="43" ht="15.75" customHeight="1">
      <c r="A43" s="8">
        <v>45041.54882185185</v>
      </c>
      <c r="B43" s="7" t="s">
        <v>204</v>
      </c>
      <c r="C43" s="7" t="s">
        <v>42</v>
      </c>
      <c r="D43" s="7" t="s">
        <v>12</v>
      </c>
      <c r="E43" s="7" t="s">
        <v>46</v>
      </c>
    </row>
    <row r="44" ht="15.75" customHeight="1">
      <c r="A44" s="8">
        <v>45041.55002200231</v>
      </c>
      <c r="B44" s="7" t="s">
        <v>221</v>
      </c>
      <c r="C44" s="7" t="s">
        <v>42</v>
      </c>
      <c r="D44" s="7" t="s">
        <v>12</v>
      </c>
      <c r="E44" s="7" t="s">
        <v>46</v>
      </c>
    </row>
    <row r="45" ht="15.75" customHeight="1">
      <c r="A45" s="8">
        <v>45041.56325883102</v>
      </c>
      <c r="B45" s="7" t="s">
        <v>97</v>
      </c>
      <c r="C45" s="7" t="s">
        <v>42</v>
      </c>
      <c r="D45" s="7" t="s">
        <v>9</v>
      </c>
      <c r="E45" s="7" t="s">
        <v>106</v>
      </c>
    </row>
    <row r="46" ht="15.75" customHeight="1">
      <c r="A46" s="8">
        <v>45070.6699734375</v>
      </c>
      <c r="B46" s="7" t="s">
        <v>60</v>
      </c>
      <c r="C46" s="7" t="s">
        <v>6</v>
      </c>
      <c r="D46" s="7" t="s">
        <v>9</v>
      </c>
      <c r="E46" s="7" t="s">
        <v>63</v>
      </c>
    </row>
    <row r="47" ht="15.75" customHeight="1">
      <c r="A47" s="8">
        <v>45070.83462799768</v>
      </c>
      <c r="B47" s="7" t="s">
        <v>79</v>
      </c>
      <c r="C47" s="7" t="s">
        <v>6</v>
      </c>
      <c r="D47" s="7" t="s">
        <v>9</v>
      </c>
      <c r="E47" s="7" t="s">
        <v>83</v>
      </c>
    </row>
    <row r="48" ht="15.75" customHeight="1">
      <c r="A48" s="8">
        <v>45071.6389084838</v>
      </c>
      <c r="B48" s="7" t="s">
        <v>5</v>
      </c>
      <c r="C48" s="7" t="s">
        <v>6</v>
      </c>
      <c r="D48" s="7" t="s">
        <v>12</v>
      </c>
      <c r="E48" s="7" t="s">
        <v>13</v>
      </c>
    </row>
    <row r="49" ht="15.75" customHeight="1">
      <c r="A49" s="8">
        <v>45071.663408402776</v>
      </c>
      <c r="B49" s="7" t="s">
        <v>187</v>
      </c>
      <c r="C49" s="7" t="s">
        <v>6</v>
      </c>
      <c r="D49" s="7" t="s">
        <v>9</v>
      </c>
      <c r="E49" s="7" t="s">
        <v>192</v>
      </c>
    </row>
    <row r="50" ht="15.75" customHeight="1">
      <c r="A50" s="8">
        <v>45085.46193327547</v>
      </c>
      <c r="B50" s="7" t="s">
        <v>131</v>
      </c>
      <c r="C50" s="7" t="s">
        <v>42</v>
      </c>
      <c r="D50" s="7" t="s">
        <v>9</v>
      </c>
      <c r="E50" s="7" t="s">
        <v>138</v>
      </c>
    </row>
    <row r="51" ht="15.75" customHeight="1">
      <c r="A51" s="8">
        <v>45097.438775902774</v>
      </c>
      <c r="B51" s="7" t="s">
        <v>150</v>
      </c>
      <c r="C51" s="7" t="s">
        <v>6</v>
      </c>
      <c r="D51" s="7" t="s">
        <v>9</v>
      </c>
      <c r="E51" s="7" t="s">
        <v>156</v>
      </c>
    </row>
    <row r="52" ht="15.75" customHeight="1">
      <c r="A52" s="8">
        <v>45105.439409004626</v>
      </c>
      <c r="B52" s="7" t="s">
        <v>97</v>
      </c>
      <c r="C52" s="7" t="s">
        <v>42</v>
      </c>
      <c r="D52" s="7" t="s">
        <v>9</v>
      </c>
      <c r="E52" s="7" t="s">
        <v>107</v>
      </c>
    </row>
    <row r="53" ht="15.75" customHeight="1">
      <c r="A53" s="8">
        <v>45113.447993842594</v>
      </c>
      <c r="B53" s="7" t="s">
        <v>171</v>
      </c>
      <c r="C53" s="7" t="s">
        <v>42</v>
      </c>
      <c r="D53" s="7" t="s">
        <v>9</v>
      </c>
      <c r="E53" s="7" t="s">
        <v>175</v>
      </c>
    </row>
    <row r="54" ht="15.75" customHeight="1">
      <c r="A54" s="8">
        <v>45126.60321364584</v>
      </c>
      <c r="B54" s="7" t="s">
        <v>5</v>
      </c>
      <c r="C54" s="7" t="s">
        <v>6</v>
      </c>
      <c r="D54" s="7" t="s">
        <v>9</v>
      </c>
      <c r="E54" s="7" t="s">
        <v>14</v>
      </c>
    </row>
    <row r="55" ht="15.75" customHeight="1">
      <c r="A55" s="8">
        <v>45126.63393125</v>
      </c>
      <c r="B55" s="7" t="s">
        <v>60</v>
      </c>
      <c r="C55" s="7" t="s">
        <v>6</v>
      </c>
      <c r="D55" s="7" t="s">
        <v>12</v>
      </c>
      <c r="E55" s="7" t="s">
        <v>64</v>
      </c>
    </row>
    <row r="56" ht="15.75" customHeight="1">
      <c r="A56" s="8">
        <v>45126.6591203125</v>
      </c>
      <c r="B56" s="7" t="s">
        <v>79</v>
      </c>
      <c r="C56" s="7" t="s">
        <v>6</v>
      </c>
      <c r="D56" s="7" t="s">
        <v>9</v>
      </c>
      <c r="E56" s="7" t="s">
        <v>84</v>
      </c>
    </row>
    <row r="57" ht="15.75" customHeight="1">
      <c r="A57" s="8">
        <v>45127.57404851852</v>
      </c>
      <c r="B57" s="7" t="s">
        <v>150</v>
      </c>
      <c r="C57" s="7" t="s">
        <v>6</v>
      </c>
      <c r="D57" s="7" t="s">
        <v>9</v>
      </c>
      <c r="E57" s="7" t="s">
        <v>157</v>
      </c>
    </row>
    <row r="58" ht="15.75" customHeight="1">
      <c r="A58" s="8">
        <v>45147.50470230324</v>
      </c>
      <c r="B58" s="7" t="s">
        <v>97</v>
      </c>
      <c r="C58" s="7" t="s">
        <v>15</v>
      </c>
      <c r="D58" s="7" t="s">
        <v>9</v>
      </c>
      <c r="E58" s="7" t="s">
        <v>108</v>
      </c>
    </row>
    <row r="59" ht="15.75" customHeight="1">
      <c r="A59" s="8">
        <v>45155.42993763889</v>
      </c>
      <c r="B59" s="7" t="s">
        <v>150</v>
      </c>
      <c r="C59" s="7" t="s">
        <v>6</v>
      </c>
      <c r="D59" s="7" t="s">
        <v>9</v>
      </c>
      <c r="E59" s="7" t="s">
        <v>158</v>
      </c>
    </row>
    <row r="60" ht="15.75" customHeight="1">
      <c r="A60" s="8">
        <v>45170.48832243055</v>
      </c>
      <c r="B60" s="7" t="s">
        <v>171</v>
      </c>
      <c r="C60" s="7" t="s">
        <v>15</v>
      </c>
      <c r="D60" s="7" t="s">
        <v>12</v>
      </c>
      <c r="E60" s="7" t="s">
        <v>176</v>
      </c>
    </row>
    <row r="61" ht="15.75" customHeight="1">
      <c r="A61" s="8">
        <v>45173.378496516205</v>
      </c>
      <c r="B61" s="7" t="s">
        <v>5</v>
      </c>
      <c r="C61" s="7" t="s">
        <v>15</v>
      </c>
      <c r="D61" s="7" t="s">
        <v>9</v>
      </c>
      <c r="E61" s="7" t="s">
        <v>16</v>
      </c>
    </row>
    <row r="62" ht="15.75" customHeight="1">
      <c r="A62" s="8">
        <v>45173.397959236114</v>
      </c>
      <c r="B62" s="7" t="s">
        <v>60</v>
      </c>
      <c r="C62" s="7" t="s">
        <v>15</v>
      </c>
      <c r="D62" s="7" t="s">
        <v>9</v>
      </c>
      <c r="E62" s="7" t="s">
        <v>65</v>
      </c>
    </row>
    <row r="63" ht="15.75" customHeight="1">
      <c r="A63" s="8">
        <v>45173.42568207176</v>
      </c>
      <c r="B63" s="7" t="s">
        <v>79</v>
      </c>
      <c r="C63" s="7" t="s">
        <v>15</v>
      </c>
      <c r="D63" s="7" t="s">
        <v>9</v>
      </c>
      <c r="E63" s="7" t="s">
        <v>85</v>
      </c>
    </row>
    <row r="64" ht="15.75" customHeight="1">
      <c r="A64" s="8">
        <v>45173.596570243055</v>
      </c>
      <c r="B64" s="7" t="s">
        <v>187</v>
      </c>
      <c r="C64" s="7" t="s">
        <v>15</v>
      </c>
      <c r="D64" s="7" t="s">
        <v>9</v>
      </c>
      <c r="E64" s="7" t="s">
        <v>193</v>
      </c>
    </row>
    <row r="65" ht="15.75" customHeight="1">
      <c r="A65" s="8">
        <v>45195.40949320602</v>
      </c>
      <c r="B65" s="7" t="s">
        <v>131</v>
      </c>
      <c r="C65" s="7" t="s">
        <v>15</v>
      </c>
      <c r="D65" s="7" t="s">
        <v>9</v>
      </c>
      <c r="E65" s="7" t="s">
        <v>139</v>
      </c>
    </row>
    <row r="66" ht="15.75" customHeight="1">
      <c r="A66" s="8">
        <v>45195.45438613426</v>
      </c>
      <c r="B66" s="7" t="s">
        <v>221</v>
      </c>
      <c r="C66" s="7" t="s">
        <v>15</v>
      </c>
      <c r="D66" s="7" t="s">
        <v>224</v>
      </c>
      <c r="E66" s="7" t="s">
        <v>225</v>
      </c>
    </row>
    <row r="67" ht="15.75" customHeight="1">
      <c r="A67" s="8">
        <v>45216.46786607639</v>
      </c>
      <c r="B67" s="7" t="s">
        <v>150</v>
      </c>
      <c r="C67" s="7" t="s">
        <v>6</v>
      </c>
      <c r="D67" s="7" t="s">
        <v>22</v>
      </c>
      <c r="E67" s="7" t="s">
        <v>159</v>
      </c>
    </row>
    <row r="68" ht="15.75" customHeight="1">
      <c r="A68" s="8">
        <v>45217.434808252314</v>
      </c>
      <c r="B68" s="7" t="s">
        <v>5</v>
      </c>
      <c r="C68" s="7" t="s">
        <v>15</v>
      </c>
      <c r="D68" s="7" t="s">
        <v>9</v>
      </c>
      <c r="E68" s="7" t="s">
        <v>17</v>
      </c>
    </row>
    <row r="69" ht="15.75" customHeight="1">
      <c r="A69" s="8">
        <v>45217.46172424768</v>
      </c>
      <c r="B69" s="7" t="s">
        <v>79</v>
      </c>
      <c r="C69" s="7" t="s">
        <v>15</v>
      </c>
      <c r="D69" s="7" t="s">
        <v>9</v>
      </c>
      <c r="E69" s="7" t="s">
        <v>86</v>
      </c>
    </row>
    <row r="70" ht="15.75" customHeight="1">
      <c r="A70" s="8">
        <v>45217.57524935185</v>
      </c>
      <c r="B70" s="7" t="s">
        <v>131</v>
      </c>
      <c r="C70" s="7" t="s">
        <v>15</v>
      </c>
      <c r="D70" s="7" t="s">
        <v>9</v>
      </c>
      <c r="E70" s="7" t="s">
        <v>140</v>
      </c>
    </row>
    <row r="71" ht="15.75" customHeight="1">
      <c r="A71" s="8">
        <v>45230.48131840277</v>
      </c>
      <c r="B71" s="7" t="s">
        <v>97</v>
      </c>
      <c r="C71" s="7" t="s">
        <v>15</v>
      </c>
      <c r="D71" s="7" t="s">
        <v>9</v>
      </c>
      <c r="E71" s="7" t="s">
        <v>109</v>
      </c>
    </row>
    <row r="72" ht="15.75" customHeight="1">
      <c r="A72" s="8">
        <v>45237.41309059028</v>
      </c>
      <c r="B72" s="7" t="s">
        <v>187</v>
      </c>
      <c r="C72" s="7" t="s">
        <v>15</v>
      </c>
      <c r="D72" s="7" t="s">
        <v>9</v>
      </c>
      <c r="E72" s="7" t="s">
        <v>194</v>
      </c>
    </row>
    <row r="73" ht="15.75" customHeight="1">
      <c r="A73" s="8">
        <v>45237.465617766204</v>
      </c>
      <c r="B73" s="7" t="s">
        <v>221</v>
      </c>
      <c r="C73" s="7" t="s">
        <v>15</v>
      </c>
      <c r="D73" s="7" t="s">
        <v>18</v>
      </c>
      <c r="E73" s="7" t="s">
        <v>226</v>
      </c>
    </row>
    <row r="74" ht="15.75" customHeight="1">
      <c r="A74" s="8">
        <v>45237.50429890046</v>
      </c>
      <c r="B74" s="7" t="s">
        <v>60</v>
      </c>
      <c r="C74" s="7" t="s">
        <v>15</v>
      </c>
      <c r="D74" s="7" t="s">
        <v>12</v>
      </c>
      <c r="E74" s="7" t="s">
        <v>66</v>
      </c>
    </row>
    <row r="75" ht="15.75" customHeight="1">
      <c r="A75" s="8">
        <v>45250.41850696759</v>
      </c>
      <c r="B75" s="7" t="s">
        <v>97</v>
      </c>
      <c r="C75" s="7" t="s">
        <v>15</v>
      </c>
      <c r="D75" s="7" t="s">
        <v>9</v>
      </c>
      <c r="E75" s="7" t="s">
        <v>110</v>
      </c>
    </row>
    <row r="76" ht="15.75" customHeight="1">
      <c r="A76" s="8">
        <v>45274.39495498843</v>
      </c>
      <c r="B76" s="7" t="s">
        <v>150</v>
      </c>
      <c r="C76" s="7" t="s">
        <v>6</v>
      </c>
      <c r="D76" s="7" t="s">
        <v>9</v>
      </c>
      <c r="E76" s="7" t="s">
        <v>160</v>
      </c>
    </row>
    <row r="77" ht="15.75" customHeight="1">
      <c r="A77" s="8">
        <v>45278.390924618056</v>
      </c>
      <c r="B77" s="7" t="s">
        <v>5</v>
      </c>
      <c r="C77" s="7" t="s">
        <v>15</v>
      </c>
      <c r="D77" s="7" t="s">
        <v>18</v>
      </c>
      <c r="E77" s="7" t="s">
        <v>19</v>
      </c>
    </row>
    <row r="78" ht="15.75" customHeight="1">
      <c r="A78" s="8">
        <v>45278.42083809028</v>
      </c>
      <c r="B78" s="7" t="s">
        <v>79</v>
      </c>
      <c r="C78" s="7" t="s">
        <v>15</v>
      </c>
      <c r="D78" s="7" t="s">
        <v>18</v>
      </c>
      <c r="E78" s="7" t="s">
        <v>87</v>
      </c>
    </row>
    <row r="79" ht="15.75" customHeight="1">
      <c r="A79" s="8">
        <v>45278.450648032405</v>
      </c>
      <c r="B79" s="7" t="s">
        <v>60</v>
      </c>
      <c r="C79" s="7" t="s">
        <v>15</v>
      </c>
      <c r="D79" s="7" t="s">
        <v>18</v>
      </c>
      <c r="E79" s="7" t="s">
        <v>67</v>
      </c>
    </row>
    <row r="80" ht="15.75" customHeight="1">
      <c r="A80" s="8">
        <v>45278.53498966435</v>
      </c>
      <c r="B80" s="7" t="s">
        <v>187</v>
      </c>
      <c r="C80" s="7" t="s">
        <v>15</v>
      </c>
      <c r="D80" s="7" t="s">
        <v>18</v>
      </c>
      <c r="E80" s="7" t="s">
        <v>195</v>
      </c>
    </row>
    <row r="81" ht="15.75" customHeight="1">
      <c r="A81" s="8">
        <v>45278.67686131944</v>
      </c>
      <c r="B81" s="7" t="s">
        <v>131</v>
      </c>
      <c r="C81" s="7" t="s">
        <v>15</v>
      </c>
      <c r="D81" s="7" t="s">
        <v>18</v>
      </c>
      <c r="E81" s="7" t="s">
        <v>141</v>
      </c>
    </row>
    <row r="82" ht="15.75" customHeight="1">
      <c r="A82" s="8">
        <v>45335.450985821764</v>
      </c>
      <c r="B82" s="7" t="s">
        <v>150</v>
      </c>
      <c r="C82" s="7" t="s">
        <v>6</v>
      </c>
      <c r="D82" s="7" t="s">
        <v>22</v>
      </c>
      <c r="E82" s="7" t="s">
        <v>161</v>
      </c>
    </row>
    <row r="83" ht="15.75" customHeight="1">
      <c r="A83" s="8">
        <v>45337.62722594907</v>
      </c>
      <c r="B83" s="7" t="s">
        <v>97</v>
      </c>
      <c r="C83" s="7" t="s">
        <v>15</v>
      </c>
      <c r="D83" s="7" t="s">
        <v>9</v>
      </c>
      <c r="E83" s="7" t="s">
        <v>111</v>
      </c>
    </row>
    <row r="84" ht="15.75" customHeight="1">
      <c r="A84" s="8">
        <v>45351.35415857639</v>
      </c>
      <c r="B84" s="7" t="s">
        <v>39</v>
      </c>
      <c r="C84" s="7" t="s">
        <v>15</v>
      </c>
      <c r="D84" s="7" t="s">
        <v>43</v>
      </c>
      <c r="E84" s="7" t="s">
        <v>47</v>
      </c>
    </row>
    <row r="85" ht="15.75" customHeight="1">
      <c r="A85" s="8">
        <v>45351.384907430554</v>
      </c>
      <c r="B85" s="7" t="s">
        <v>171</v>
      </c>
      <c r="C85" s="7" t="s">
        <v>15</v>
      </c>
      <c r="D85" s="7" t="s">
        <v>43</v>
      </c>
      <c r="E85" s="7" t="s">
        <v>177</v>
      </c>
    </row>
    <row r="86" ht="15.75" customHeight="1">
      <c r="A86" s="8">
        <v>45351.41106268518</v>
      </c>
      <c r="B86" s="7" t="s">
        <v>204</v>
      </c>
      <c r="C86" s="7" t="s">
        <v>15</v>
      </c>
      <c r="D86" s="7" t="s">
        <v>43</v>
      </c>
      <c r="E86" s="7" t="s">
        <v>208</v>
      </c>
    </row>
    <row r="87" ht="15.75" customHeight="1">
      <c r="A87" s="8">
        <v>45352.363495185185</v>
      </c>
      <c r="B87" s="7" t="s">
        <v>39</v>
      </c>
      <c r="C87" s="7" t="s">
        <v>42</v>
      </c>
      <c r="D87" s="7" t="s">
        <v>9</v>
      </c>
      <c r="E87" s="7" t="s">
        <v>48</v>
      </c>
    </row>
    <row r="88" ht="15.75" customHeight="1">
      <c r="A88" s="8">
        <v>45352.36371628472</v>
      </c>
      <c r="B88" s="7" t="s">
        <v>204</v>
      </c>
      <c r="C88" s="7" t="s">
        <v>42</v>
      </c>
      <c r="D88" s="7" t="s">
        <v>9</v>
      </c>
      <c r="E88" s="7" t="s">
        <v>48</v>
      </c>
    </row>
    <row r="89" ht="15.75" customHeight="1">
      <c r="A89" s="8">
        <v>45352.36383590278</v>
      </c>
      <c r="B89" s="7" t="s">
        <v>171</v>
      </c>
      <c r="C89" s="7" t="s">
        <v>42</v>
      </c>
      <c r="D89" s="7" t="s">
        <v>9</v>
      </c>
      <c r="E89" s="7" t="s">
        <v>48</v>
      </c>
    </row>
    <row r="90" ht="15.75" customHeight="1">
      <c r="A90" s="8">
        <v>45393.46316733796</v>
      </c>
      <c r="B90" s="7" t="s">
        <v>97</v>
      </c>
      <c r="C90" s="7" t="s">
        <v>15</v>
      </c>
      <c r="D90" s="7" t="s">
        <v>18</v>
      </c>
      <c r="E90" s="7" t="s">
        <v>112</v>
      </c>
    </row>
    <row r="91" ht="15.75" customHeight="1">
      <c r="A91" s="8">
        <v>45393.59611868055</v>
      </c>
      <c r="B91" s="7" t="s">
        <v>150</v>
      </c>
      <c r="C91" s="7" t="s">
        <v>15</v>
      </c>
      <c r="D91" s="7" t="s">
        <v>18</v>
      </c>
      <c r="E91" s="7" t="s">
        <v>162</v>
      </c>
    </row>
    <row r="92" ht="15.75" customHeight="1">
      <c r="A92" s="8">
        <v>45607.59689212963</v>
      </c>
      <c r="B92" s="7" t="s">
        <v>97</v>
      </c>
      <c r="C92" s="7" t="s">
        <v>6</v>
      </c>
      <c r="D92" s="7" t="s">
        <v>9</v>
      </c>
      <c r="E92" s="7" t="s">
        <v>113</v>
      </c>
    </row>
    <row r="93" ht="15.75" customHeight="1">
      <c r="A93" s="8">
        <v>45609.62473618056</v>
      </c>
      <c r="B93" s="7" t="s">
        <v>150</v>
      </c>
      <c r="C93" s="7" t="s">
        <v>6</v>
      </c>
      <c r="D93" s="7" t="s">
        <v>22</v>
      </c>
      <c r="E93" s="7" t="s">
        <v>163</v>
      </c>
    </row>
    <row r="94" ht="15.75" customHeight="1">
      <c r="A94" s="8">
        <v>45610.490190069446</v>
      </c>
      <c r="B94" s="7" t="s">
        <v>60</v>
      </c>
      <c r="C94" s="7" t="s">
        <v>6</v>
      </c>
      <c r="D94" s="7" t="s">
        <v>9</v>
      </c>
      <c r="E94" s="7" t="s">
        <v>68</v>
      </c>
    </row>
    <row r="95" ht="15.75" customHeight="1">
      <c r="A95" s="8">
        <v>45610.552990428245</v>
      </c>
      <c r="B95" s="7" t="s">
        <v>60</v>
      </c>
      <c r="C95" s="7" t="s">
        <v>6</v>
      </c>
      <c r="D95" s="7" t="s">
        <v>9</v>
      </c>
    </row>
    <row r="96" ht="15.75" customHeight="1">
      <c r="A96" s="8">
        <v>45610.56731798611</v>
      </c>
      <c r="B96" s="7" t="s">
        <v>5</v>
      </c>
      <c r="C96" s="7" t="s">
        <v>6</v>
      </c>
      <c r="D96" s="7" t="s">
        <v>20</v>
      </c>
      <c r="E96" s="7" t="s">
        <v>21</v>
      </c>
    </row>
    <row r="97" ht="15.75" customHeight="1">
      <c r="A97" s="8">
        <v>45610.60429050926</v>
      </c>
      <c r="B97" s="7" t="s">
        <v>171</v>
      </c>
      <c r="C97" s="7" t="s">
        <v>6</v>
      </c>
      <c r="D97" s="7" t="s">
        <v>9</v>
      </c>
      <c r="E97" s="7" t="s">
        <v>178</v>
      </c>
    </row>
    <row r="98" ht="15.75" customHeight="1">
      <c r="A98" s="8">
        <v>45610.633447824075</v>
      </c>
      <c r="B98" s="7" t="s">
        <v>204</v>
      </c>
      <c r="C98" s="7" t="s">
        <v>6</v>
      </c>
      <c r="D98" s="7" t="s">
        <v>32</v>
      </c>
      <c r="E98" s="7" t="s">
        <v>209</v>
      </c>
    </row>
    <row r="99" ht="15.75" customHeight="1">
      <c r="A99" s="8">
        <v>45611.63027982639</v>
      </c>
      <c r="B99" s="7" t="s">
        <v>5</v>
      </c>
      <c r="C99" s="7" t="s">
        <v>6</v>
      </c>
      <c r="D99" s="7" t="s">
        <v>22</v>
      </c>
      <c r="E99" s="7" t="s">
        <v>23</v>
      </c>
    </row>
    <row r="100" ht="15.75" customHeight="1">
      <c r="A100" s="8">
        <v>45611.63087717592</v>
      </c>
      <c r="B100" s="7" t="s">
        <v>204</v>
      </c>
      <c r="C100" s="7" t="s">
        <v>6</v>
      </c>
      <c r="D100" s="7" t="s">
        <v>22</v>
      </c>
      <c r="E100" s="7" t="s">
        <v>210</v>
      </c>
    </row>
    <row r="101" ht="15.75" customHeight="1">
      <c r="A101" s="8">
        <v>45614.39815956018</v>
      </c>
      <c r="B101" s="7" t="s">
        <v>204</v>
      </c>
      <c r="C101" s="7" t="s">
        <v>6</v>
      </c>
      <c r="D101" s="7" t="s">
        <v>43</v>
      </c>
      <c r="E101" s="7" t="s">
        <v>211</v>
      </c>
    </row>
    <row r="102" ht="15.75" customHeight="1">
      <c r="A102" s="8">
        <v>45614.43671165509</v>
      </c>
      <c r="B102" s="7" t="s">
        <v>187</v>
      </c>
      <c r="C102" s="7" t="s">
        <v>6</v>
      </c>
      <c r="D102" s="7" t="s">
        <v>34</v>
      </c>
      <c r="E102" s="7" t="s">
        <v>196</v>
      </c>
    </row>
    <row r="103" ht="15.75" customHeight="1">
      <c r="A103" s="8">
        <v>45616.36418752315</v>
      </c>
      <c r="B103" s="7" t="s">
        <v>39</v>
      </c>
      <c r="C103" s="7" t="s">
        <v>6</v>
      </c>
      <c r="D103" s="7" t="s">
        <v>22</v>
      </c>
      <c r="E103" s="7" t="s">
        <v>49</v>
      </c>
    </row>
    <row r="104" ht="15.75" customHeight="1">
      <c r="A104" s="8">
        <v>45616.4016721875</v>
      </c>
      <c r="B104" s="7" t="s">
        <v>131</v>
      </c>
      <c r="C104" s="7" t="s">
        <v>6</v>
      </c>
      <c r="D104" s="7" t="s">
        <v>22</v>
      </c>
      <c r="E104" s="7" t="s">
        <v>142</v>
      </c>
    </row>
    <row r="105" ht="15.75" customHeight="1">
      <c r="A105" s="8">
        <v>45616.427729849536</v>
      </c>
      <c r="B105" s="7" t="s">
        <v>187</v>
      </c>
      <c r="C105" s="7" t="s">
        <v>6</v>
      </c>
      <c r="D105" s="7" t="s">
        <v>12</v>
      </c>
      <c r="E105" s="7" t="s">
        <v>197</v>
      </c>
    </row>
    <row r="106" ht="15.75" customHeight="1">
      <c r="A106" s="8">
        <v>45616.46222850695</v>
      </c>
      <c r="B106" s="7" t="s">
        <v>187</v>
      </c>
      <c r="C106" s="7" t="s">
        <v>6</v>
      </c>
      <c r="D106" s="7" t="s">
        <v>12</v>
      </c>
    </row>
    <row r="107" ht="15.75" customHeight="1">
      <c r="A107" s="8">
        <v>45616.485028344905</v>
      </c>
      <c r="B107" s="7" t="s">
        <v>79</v>
      </c>
      <c r="C107" s="7" t="s">
        <v>6</v>
      </c>
      <c r="D107" s="7" t="s">
        <v>22</v>
      </c>
      <c r="E107" s="7" t="s">
        <v>88</v>
      </c>
    </row>
    <row r="108" ht="15.75" customHeight="1">
      <c r="A108" s="8">
        <v>45616.654571493054</v>
      </c>
      <c r="B108" s="7" t="s">
        <v>221</v>
      </c>
      <c r="C108" s="7" t="s">
        <v>6</v>
      </c>
      <c r="D108" s="7" t="s">
        <v>20</v>
      </c>
      <c r="E108" s="7" t="s">
        <v>227</v>
      </c>
    </row>
    <row r="109" ht="15.75" customHeight="1">
      <c r="A109" s="8">
        <v>45616.66382581019</v>
      </c>
      <c r="B109" s="7" t="s">
        <v>5</v>
      </c>
      <c r="C109" s="7" t="s">
        <v>6</v>
      </c>
      <c r="D109" s="7" t="s">
        <v>12</v>
      </c>
      <c r="E109" s="7" t="s">
        <v>24</v>
      </c>
    </row>
    <row r="110" ht="15.75" customHeight="1">
      <c r="A110" s="8">
        <v>45621.57953920139</v>
      </c>
      <c r="B110" s="7" t="s">
        <v>221</v>
      </c>
      <c r="C110" s="7" t="s">
        <v>42</v>
      </c>
      <c r="D110" s="7" t="s">
        <v>228</v>
      </c>
      <c r="E110" s="7" t="s">
        <v>229</v>
      </c>
    </row>
    <row r="111" ht="15.75" customHeight="1">
      <c r="A111" s="8">
        <v>45623.59602844907</v>
      </c>
      <c r="B111" s="7" t="s">
        <v>221</v>
      </c>
      <c r="C111" s="7" t="s">
        <v>6</v>
      </c>
      <c r="D111" s="7" t="s">
        <v>12</v>
      </c>
      <c r="E111" s="7" t="s">
        <v>230</v>
      </c>
    </row>
    <row r="112" ht="15.75" customHeight="1">
      <c r="A112" s="8">
        <v>45623.656151979165</v>
      </c>
      <c r="B112" s="7" t="s">
        <v>5</v>
      </c>
      <c r="C112" s="7" t="s">
        <v>6</v>
      </c>
      <c r="D112" s="7" t="s">
        <v>25</v>
      </c>
      <c r="E112" s="7" t="s">
        <v>26</v>
      </c>
    </row>
    <row r="113" ht="15.75" customHeight="1">
      <c r="A113" s="8">
        <v>45623.71409081019</v>
      </c>
      <c r="B113" s="7" t="s">
        <v>60</v>
      </c>
      <c r="C113" s="7" t="s">
        <v>6</v>
      </c>
      <c r="D113" s="7" t="s">
        <v>20</v>
      </c>
      <c r="E113" s="7" t="s">
        <v>69</v>
      </c>
    </row>
    <row r="114" ht="15.75" customHeight="1">
      <c r="A114" s="8">
        <v>45629.462841053246</v>
      </c>
      <c r="B114" s="7" t="s">
        <v>79</v>
      </c>
      <c r="C114" s="7" t="s">
        <v>6</v>
      </c>
      <c r="D114" s="7" t="s">
        <v>89</v>
      </c>
      <c r="E114" s="7" t="s">
        <v>90</v>
      </c>
    </row>
    <row r="115" ht="15.75" customHeight="1">
      <c r="A115" s="8">
        <v>45629.47412131944</v>
      </c>
      <c r="B115" s="7" t="s">
        <v>60</v>
      </c>
      <c r="C115" s="7" t="s">
        <v>6</v>
      </c>
      <c r="D115" s="7" t="s">
        <v>12</v>
      </c>
      <c r="E115" s="7" t="s">
        <v>70</v>
      </c>
    </row>
    <row r="116" ht="15.75" customHeight="1">
      <c r="A116" s="8">
        <v>45629.60151543982</v>
      </c>
      <c r="B116" s="7" t="s">
        <v>171</v>
      </c>
      <c r="C116" s="7" t="s">
        <v>6</v>
      </c>
      <c r="D116" s="7" t="s">
        <v>25</v>
      </c>
      <c r="E116" s="7" t="s">
        <v>179</v>
      </c>
    </row>
    <row r="117" ht="15.75" customHeight="1">
      <c r="A117" s="8">
        <v>45629.643610416664</v>
      </c>
      <c r="B117" s="7" t="s">
        <v>204</v>
      </c>
      <c r="C117" s="7" t="s">
        <v>6</v>
      </c>
      <c r="D117" s="7" t="s">
        <v>12</v>
      </c>
      <c r="E117" s="7" t="s">
        <v>212</v>
      </c>
    </row>
    <row r="118" ht="15.75" customHeight="1">
      <c r="A118" s="8">
        <v>45630.66491644676</v>
      </c>
      <c r="B118" s="7" t="s">
        <v>204</v>
      </c>
      <c r="C118" s="7" t="s">
        <v>6</v>
      </c>
      <c r="D118" s="7" t="s">
        <v>25</v>
      </c>
      <c r="E118" s="7" t="s">
        <v>213</v>
      </c>
    </row>
    <row r="119" ht="15.75" customHeight="1">
      <c r="A119" s="8">
        <v>45630.66564648148</v>
      </c>
      <c r="B119" s="7" t="s">
        <v>221</v>
      </c>
      <c r="C119" s="7" t="s">
        <v>6</v>
      </c>
      <c r="D119" s="7" t="s">
        <v>25</v>
      </c>
      <c r="E119" s="7" t="s">
        <v>231</v>
      </c>
    </row>
    <row r="120" ht="15.75" customHeight="1">
      <c r="A120" s="8">
        <v>45631.357858703705</v>
      </c>
      <c r="B120" s="7" t="s">
        <v>39</v>
      </c>
      <c r="C120" s="7" t="s">
        <v>6</v>
      </c>
      <c r="D120" s="7" t="s">
        <v>12</v>
      </c>
      <c r="E120" s="7" t="s">
        <v>50</v>
      </c>
    </row>
    <row r="121" ht="15.75" customHeight="1">
      <c r="A121" s="8">
        <v>45631.395080138886</v>
      </c>
      <c r="B121" s="7" t="s">
        <v>131</v>
      </c>
      <c r="C121" s="7" t="s">
        <v>6</v>
      </c>
      <c r="D121" s="7" t="s">
        <v>20</v>
      </c>
      <c r="E121" s="7" t="s">
        <v>143</v>
      </c>
    </row>
    <row r="122" ht="15.75" customHeight="1">
      <c r="A122" s="8">
        <v>45631.431358368056</v>
      </c>
      <c r="B122" s="7" t="s">
        <v>187</v>
      </c>
      <c r="C122" s="7" t="s">
        <v>6</v>
      </c>
      <c r="D122" s="7" t="s">
        <v>12</v>
      </c>
      <c r="E122" s="7" t="s">
        <v>198</v>
      </c>
    </row>
    <row r="123" ht="15.75" customHeight="1">
      <c r="A123" s="8">
        <v>45642.62209866898</v>
      </c>
      <c r="B123" s="7" t="s">
        <v>97</v>
      </c>
      <c r="C123" s="7" t="s">
        <v>6</v>
      </c>
      <c r="D123" s="7" t="s">
        <v>9</v>
      </c>
      <c r="E123" s="7" t="s">
        <v>114</v>
      </c>
    </row>
    <row r="124" ht="15.75" customHeight="1">
      <c r="A124" s="8">
        <v>45644.46148216435</v>
      </c>
      <c r="B124" s="7" t="s">
        <v>150</v>
      </c>
      <c r="C124" s="7" t="s">
        <v>6</v>
      </c>
      <c r="D124" s="7" t="s">
        <v>164</v>
      </c>
      <c r="E124" s="7" t="s">
        <v>165</v>
      </c>
    </row>
    <row r="125" ht="15.75" customHeight="1">
      <c r="A125" s="8">
        <v>45692.54911940973</v>
      </c>
      <c r="B125" s="7" t="s">
        <v>97</v>
      </c>
      <c r="C125" s="7" t="s">
        <v>6</v>
      </c>
      <c r="D125" s="7" t="s">
        <v>9</v>
      </c>
      <c r="E125" s="7" t="s">
        <v>115</v>
      </c>
    </row>
    <row r="126" ht="15.75" customHeight="1">
      <c r="A126" s="8">
        <v>45728.45599861111</v>
      </c>
      <c r="B126" s="7" t="s">
        <v>150</v>
      </c>
      <c r="C126" s="7" t="s">
        <v>6</v>
      </c>
      <c r="D126" s="7" t="s">
        <v>166</v>
      </c>
      <c r="E126" s="7" t="s">
        <v>167</v>
      </c>
    </row>
    <row r="127" ht="15.75" customHeight="1">
      <c r="A127" s="8">
        <v>45741.472309386576</v>
      </c>
      <c r="B127" s="7" t="s">
        <v>97</v>
      </c>
      <c r="C127" s="7" t="s">
        <v>6</v>
      </c>
      <c r="D127" s="7" t="s">
        <v>9</v>
      </c>
      <c r="E127" s="7" t="s">
        <v>116</v>
      </c>
    </row>
    <row r="128" ht="15.75" customHeight="1">
      <c r="A128" s="8">
        <v>45755.35039721065</v>
      </c>
      <c r="B128" s="7" t="s">
        <v>39</v>
      </c>
      <c r="C128" s="7" t="s">
        <v>6</v>
      </c>
      <c r="D128" s="7" t="s">
        <v>20</v>
      </c>
      <c r="E128" s="7" t="s">
        <v>51</v>
      </c>
    </row>
    <row r="129" ht="15.75" customHeight="1">
      <c r="A129" s="8">
        <v>45755.37745063657</v>
      </c>
      <c r="B129" s="7" t="s">
        <v>39</v>
      </c>
      <c r="C129" s="7" t="s">
        <v>6</v>
      </c>
      <c r="D129" s="7" t="s">
        <v>20</v>
      </c>
    </row>
    <row r="130" ht="15.75" customHeight="1">
      <c r="A130" s="8">
        <v>45755.37806935185</v>
      </c>
      <c r="B130" s="7" t="s">
        <v>171</v>
      </c>
      <c r="C130" s="7" t="s">
        <v>6</v>
      </c>
      <c r="D130" s="7" t="s">
        <v>20</v>
      </c>
      <c r="E130" s="7" t="s">
        <v>180</v>
      </c>
    </row>
    <row r="131" ht="15.75" customHeight="1">
      <c r="A131" s="8">
        <v>45755.46048039352</v>
      </c>
      <c r="B131" s="7" t="s">
        <v>171</v>
      </c>
      <c r="C131" s="7" t="s">
        <v>6</v>
      </c>
      <c r="D131" s="7" t="s">
        <v>20</v>
      </c>
    </row>
    <row r="132" ht="15.75" customHeight="1">
      <c r="A132" s="8">
        <v>45755.46087340278</v>
      </c>
      <c r="B132" s="7" t="s">
        <v>204</v>
      </c>
      <c r="C132" s="7" t="s">
        <v>6</v>
      </c>
      <c r="D132" s="7" t="s">
        <v>32</v>
      </c>
      <c r="E132" s="7" t="s">
        <v>214</v>
      </c>
    </row>
    <row r="133" ht="15.75" customHeight="1">
      <c r="A133" s="8">
        <v>45755.46134956018</v>
      </c>
      <c r="B133" s="7" t="s">
        <v>131</v>
      </c>
      <c r="C133" s="7" t="s">
        <v>6</v>
      </c>
      <c r="D133" s="7" t="s">
        <v>20</v>
      </c>
      <c r="E133" s="7" t="s">
        <v>144</v>
      </c>
    </row>
    <row r="134" ht="15.75" customHeight="1">
      <c r="A134" s="8">
        <v>45755.47617494213</v>
      </c>
      <c r="B134" s="7" t="s">
        <v>187</v>
      </c>
      <c r="C134" s="7" t="s">
        <v>6</v>
      </c>
      <c r="D134" s="7" t="s">
        <v>20</v>
      </c>
      <c r="E134" s="7" t="s">
        <v>199</v>
      </c>
    </row>
    <row r="135" ht="15.75" customHeight="1">
      <c r="A135" s="8">
        <v>45755.495385752314</v>
      </c>
      <c r="B135" s="7" t="s">
        <v>187</v>
      </c>
      <c r="C135" s="7" t="s">
        <v>6</v>
      </c>
      <c r="D135" s="7" t="s">
        <v>20</v>
      </c>
      <c r="E135" s="7" t="s">
        <v>200</v>
      </c>
    </row>
    <row r="136" ht="15.75" customHeight="1">
      <c r="A136" s="8">
        <v>45755.49566162037</v>
      </c>
      <c r="B136" s="7" t="s">
        <v>204</v>
      </c>
      <c r="C136" s="7" t="s">
        <v>6</v>
      </c>
      <c r="D136" s="7" t="s">
        <v>20</v>
      </c>
      <c r="E136" s="7" t="s">
        <v>215</v>
      </c>
    </row>
    <row r="137" ht="15.75" customHeight="1">
      <c r="A137" s="8">
        <v>45755.578603483795</v>
      </c>
      <c r="B137" s="7" t="s">
        <v>204</v>
      </c>
      <c r="C137" s="7" t="s">
        <v>6</v>
      </c>
      <c r="D137" s="7" t="s">
        <v>20</v>
      </c>
    </row>
    <row r="138" ht="15.75" customHeight="1">
      <c r="A138" s="8">
        <v>45755.58073465277</v>
      </c>
      <c r="B138" s="7" t="s">
        <v>5</v>
      </c>
      <c r="C138" s="7" t="s">
        <v>6</v>
      </c>
      <c r="D138" s="7" t="s">
        <v>20</v>
      </c>
      <c r="E138" s="7" t="s">
        <v>27</v>
      </c>
    </row>
    <row r="139" ht="15.75" customHeight="1">
      <c r="A139" s="8">
        <v>45755.62737229167</v>
      </c>
      <c r="B139" s="7" t="s">
        <v>79</v>
      </c>
      <c r="C139" s="7" t="s">
        <v>6</v>
      </c>
      <c r="D139" s="7" t="s">
        <v>20</v>
      </c>
      <c r="E139" s="7" t="s">
        <v>91</v>
      </c>
    </row>
    <row r="140" ht="15.75" customHeight="1">
      <c r="A140" s="8">
        <v>45755.648271666665</v>
      </c>
      <c r="B140" s="7" t="s">
        <v>60</v>
      </c>
      <c r="C140" s="7" t="s">
        <v>6</v>
      </c>
      <c r="D140" s="7" t="s">
        <v>20</v>
      </c>
      <c r="E140" s="7" t="s">
        <v>71</v>
      </c>
    </row>
    <row r="141" ht="15.75" customHeight="1">
      <c r="A141" s="8">
        <v>45756.428977662035</v>
      </c>
      <c r="B141" s="7" t="s">
        <v>221</v>
      </c>
      <c r="C141" s="7" t="s">
        <v>6</v>
      </c>
      <c r="D141" s="7" t="s">
        <v>20</v>
      </c>
      <c r="E141" s="7" t="s">
        <v>232</v>
      </c>
    </row>
    <row r="142" ht="15.75" customHeight="1">
      <c r="A142" s="8">
        <v>45757.41097707176</v>
      </c>
      <c r="B142" s="7" t="s">
        <v>39</v>
      </c>
      <c r="C142" s="7" t="s">
        <v>6</v>
      </c>
      <c r="D142" s="7" t="s">
        <v>9</v>
      </c>
      <c r="E142" s="7" t="s">
        <v>52</v>
      </c>
    </row>
    <row r="143" ht="15.75" customHeight="1">
      <c r="A143" s="8">
        <v>45757.41363520833</v>
      </c>
      <c r="B143" s="7" t="s">
        <v>204</v>
      </c>
      <c r="C143" s="7" t="s">
        <v>6</v>
      </c>
      <c r="D143" s="7" t="s">
        <v>9</v>
      </c>
      <c r="E143" s="7" t="s">
        <v>52</v>
      </c>
    </row>
    <row r="144" ht="15.75" customHeight="1">
      <c r="A144" s="8">
        <v>45757.418752060184</v>
      </c>
      <c r="B144" s="7" t="s">
        <v>221</v>
      </c>
      <c r="C144" s="7" t="s">
        <v>6</v>
      </c>
      <c r="D144" s="7" t="s">
        <v>9</v>
      </c>
      <c r="E144" s="7" t="s">
        <v>233</v>
      </c>
    </row>
    <row r="145" ht="15.75" customHeight="1">
      <c r="A145" s="8">
        <v>45757.46830982639</v>
      </c>
      <c r="B145" s="7" t="s">
        <v>79</v>
      </c>
      <c r="C145" s="7" t="s">
        <v>6</v>
      </c>
      <c r="D145" s="7" t="s">
        <v>92</v>
      </c>
      <c r="E145" s="7" t="s">
        <v>93</v>
      </c>
    </row>
    <row r="146" ht="15.75" customHeight="1">
      <c r="A146" s="8">
        <v>45757.475635358795</v>
      </c>
      <c r="B146" s="7" t="s">
        <v>131</v>
      </c>
      <c r="C146" s="7" t="s">
        <v>6</v>
      </c>
      <c r="D146" s="7" t="s">
        <v>9</v>
      </c>
      <c r="E146" s="7" t="s">
        <v>72</v>
      </c>
    </row>
    <row r="147" ht="15.75" customHeight="1">
      <c r="A147" s="8">
        <v>45757.48087935185</v>
      </c>
      <c r="B147" s="7" t="s">
        <v>5</v>
      </c>
      <c r="C147" s="7" t="s">
        <v>6</v>
      </c>
      <c r="D147" s="7" t="s">
        <v>9</v>
      </c>
      <c r="E147" s="7" t="s">
        <v>28</v>
      </c>
    </row>
    <row r="148" ht="15.75" customHeight="1">
      <c r="A148" s="8">
        <v>45757.48577222222</v>
      </c>
      <c r="B148" s="7" t="s">
        <v>187</v>
      </c>
      <c r="C148" s="7" t="s">
        <v>6</v>
      </c>
      <c r="D148" s="7" t="s">
        <v>9</v>
      </c>
      <c r="E148" s="7" t="s">
        <v>72</v>
      </c>
    </row>
    <row r="149" ht="15.75" customHeight="1">
      <c r="A149" s="8">
        <v>45757.4909066088</v>
      </c>
      <c r="B149" s="7" t="s">
        <v>60</v>
      </c>
      <c r="C149" s="7" t="s">
        <v>6</v>
      </c>
      <c r="D149" s="7" t="s">
        <v>9</v>
      </c>
      <c r="E149" s="7" t="s">
        <v>72</v>
      </c>
    </row>
    <row r="150" ht="15.75" customHeight="1">
      <c r="A150" s="8">
        <v>45757.496477002314</v>
      </c>
      <c r="B150" s="7" t="s">
        <v>150</v>
      </c>
      <c r="C150" s="7" t="s">
        <v>6</v>
      </c>
      <c r="D150" s="7" t="s">
        <v>9</v>
      </c>
      <c r="E150" s="7" t="s">
        <v>168</v>
      </c>
    </row>
    <row r="151" ht="15.75" customHeight="1">
      <c r="A151" s="8">
        <v>45762.52893576389</v>
      </c>
      <c r="B151" s="7" t="s">
        <v>97</v>
      </c>
      <c r="C151" s="7" t="s">
        <v>6</v>
      </c>
      <c r="D151" s="7" t="s">
        <v>20</v>
      </c>
      <c r="E151" s="7" t="s">
        <v>117</v>
      </c>
    </row>
    <row r="152" ht="15.75" customHeight="1">
      <c r="A152" s="8">
        <v>45776.35784211806</v>
      </c>
      <c r="B152" s="7" t="s">
        <v>39</v>
      </c>
      <c r="C152" s="7" t="s">
        <v>6</v>
      </c>
      <c r="D152" s="7" t="s">
        <v>20</v>
      </c>
      <c r="E152" s="7" t="s">
        <v>53</v>
      </c>
    </row>
    <row r="153" ht="15.75" customHeight="1">
      <c r="A153" s="8">
        <v>45776.395819108795</v>
      </c>
      <c r="B153" s="7" t="s">
        <v>39</v>
      </c>
      <c r="C153" s="7" t="s">
        <v>6</v>
      </c>
      <c r="D153" s="7" t="s">
        <v>9</v>
      </c>
      <c r="E153" s="7" t="s">
        <v>54</v>
      </c>
    </row>
    <row r="154" ht="15.75" customHeight="1">
      <c r="A154" s="8">
        <v>45792.68019305555</v>
      </c>
      <c r="B154" s="7" t="s">
        <v>97</v>
      </c>
      <c r="C154" s="7" t="s">
        <v>6</v>
      </c>
      <c r="D154" s="7" t="s">
        <v>9</v>
      </c>
      <c r="E154" s="7" t="s">
        <v>118</v>
      </c>
    </row>
    <row r="155" ht="15.75" customHeight="1">
      <c r="A155" s="8">
        <v>45820.347634756945</v>
      </c>
      <c r="B155" s="7" t="s">
        <v>39</v>
      </c>
      <c r="C155" s="7" t="s">
        <v>6</v>
      </c>
      <c r="D155" s="7" t="s">
        <v>9</v>
      </c>
      <c r="E155" s="7" t="s">
        <v>55</v>
      </c>
    </row>
    <row r="156" ht="15.75" customHeight="1">
      <c r="A156" s="8">
        <v>45820.362573136576</v>
      </c>
      <c r="B156" s="7" t="s">
        <v>171</v>
      </c>
      <c r="C156" s="7" t="s">
        <v>6</v>
      </c>
      <c r="D156" s="7" t="s">
        <v>9</v>
      </c>
      <c r="E156" s="7" t="s">
        <v>181</v>
      </c>
    </row>
    <row r="157" ht="15.75" customHeight="1">
      <c r="A157" s="8">
        <v>45820.387893900464</v>
      </c>
      <c r="B157" s="7" t="s">
        <v>204</v>
      </c>
      <c r="C157" s="7" t="s">
        <v>6</v>
      </c>
      <c r="D157" s="7" t="s">
        <v>9</v>
      </c>
      <c r="E157" s="7" t="s">
        <v>216</v>
      </c>
    </row>
    <row r="158" ht="15.75" customHeight="1">
      <c r="A158" s="8">
        <v>45820.41166582176</v>
      </c>
      <c r="B158" s="7" t="s">
        <v>131</v>
      </c>
      <c r="C158" s="7" t="s">
        <v>6</v>
      </c>
      <c r="D158" s="7" t="s">
        <v>9</v>
      </c>
      <c r="E158" s="7" t="s">
        <v>145</v>
      </c>
    </row>
    <row r="159" ht="15.75" customHeight="1">
      <c r="A159" s="8">
        <v>45820.42775109954</v>
      </c>
      <c r="B159" s="7" t="s">
        <v>187</v>
      </c>
      <c r="C159" s="7" t="s">
        <v>6</v>
      </c>
      <c r="D159" s="7" t="s">
        <v>22</v>
      </c>
      <c r="E159" s="7" t="s">
        <v>201</v>
      </c>
    </row>
    <row r="160" ht="15.75" customHeight="1">
      <c r="A160" s="8">
        <v>45820.572256562504</v>
      </c>
      <c r="B160" s="7" t="s">
        <v>187</v>
      </c>
      <c r="C160" s="7" t="s">
        <v>6</v>
      </c>
      <c r="D160" s="7" t="s">
        <v>22</v>
      </c>
    </row>
    <row r="161" ht="15.75" customHeight="1">
      <c r="A161" s="8">
        <v>45820.57258894676</v>
      </c>
      <c r="B161" s="7" t="s">
        <v>5</v>
      </c>
      <c r="C161" s="7" t="s">
        <v>6</v>
      </c>
      <c r="D161" s="7" t="s">
        <v>9</v>
      </c>
      <c r="E161" s="7" t="s">
        <v>29</v>
      </c>
    </row>
    <row r="162" ht="15.75" customHeight="1">
      <c r="A162" s="8">
        <v>45820.572858761574</v>
      </c>
      <c r="B162" s="7" t="s">
        <v>79</v>
      </c>
      <c r="C162" s="7" t="s">
        <v>6</v>
      </c>
      <c r="D162" s="7" t="s">
        <v>9</v>
      </c>
      <c r="E162" s="7" t="s">
        <v>94</v>
      </c>
    </row>
    <row r="163" ht="15.75" customHeight="1">
      <c r="A163" s="8">
        <v>45826.49660424769</v>
      </c>
      <c r="B163" s="7" t="s">
        <v>150</v>
      </c>
      <c r="C163" s="7" t="s">
        <v>6</v>
      </c>
      <c r="D163" s="7" t="s">
        <v>9</v>
      </c>
      <c r="E163" s="7" t="s">
        <v>169</v>
      </c>
    </row>
    <row r="164" ht="15.75" customHeight="1">
      <c r="A164" s="8">
        <v>45831.426713506946</v>
      </c>
      <c r="B164" s="7" t="s">
        <v>221</v>
      </c>
      <c r="C164" s="7" t="s">
        <v>6</v>
      </c>
      <c r="D164" s="7" t="s">
        <v>9</v>
      </c>
      <c r="E164" s="7" t="s">
        <v>234</v>
      </c>
    </row>
    <row r="165" ht="15.75" customHeight="1">
      <c r="A165" s="8">
        <v>45831.722251875</v>
      </c>
      <c r="B165" s="7" t="s">
        <v>60</v>
      </c>
      <c r="C165" s="7" t="s">
        <v>6</v>
      </c>
      <c r="D165" s="7" t="s">
        <v>22</v>
      </c>
      <c r="E165" s="7" t="s">
        <v>73</v>
      </c>
    </row>
    <row r="166" ht="15.75" customHeight="1">
      <c r="A166" s="8">
        <v>45832.716160509255</v>
      </c>
      <c r="B166" s="7" t="s">
        <v>60</v>
      </c>
      <c r="C166" s="7" t="s">
        <v>6</v>
      </c>
      <c r="D166" s="7" t="s">
        <v>18</v>
      </c>
      <c r="E166" s="7" t="s">
        <v>74</v>
      </c>
    </row>
    <row r="167" ht="15.75" customHeight="1">
      <c r="A167" s="8">
        <v>45867.564165034724</v>
      </c>
      <c r="B167" s="7" t="s">
        <v>97</v>
      </c>
      <c r="C167" s="7" t="s">
        <v>6</v>
      </c>
      <c r="D167" s="7" t="s">
        <v>43</v>
      </c>
      <c r="E167" s="7" t="s">
        <v>119</v>
      </c>
    </row>
    <row r="168" ht="15.75" customHeight="1">
      <c r="A168" s="8">
        <v>45874.32389909722</v>
      </c>
      <c r="B168" s="7" t="s">
        <v>39</v>
      </c>
      <c r="C168" s="7" t="s">
        <v>6</v>
      </c>
      <c r="D168" s="7" t="s">
        <v>30</v>
      </c>
      <c r="E168" s="7" t="s">
        <v>56</v>
      </c>
    </row>
    <row r="169" ht="15.75" customHeight="1">
      <c r="A169" s="8">
        <v>45874.35776912037</v>
      </c>
      <c r="B169" s="7" t="s">
        <v>171</v>
      </c>
      <c r="C169" s="7" t="s">
        <v>6</v>
      </c>
      <c r="D169" s="7" t="s">
        <v>30</v>
      </c>
      <c r="E169" s="7" t="s">
        <v>182</v>
      </c>
    </row>
    <row r="170" ht="15.75" customHeight="1">
      <c r="A170" s="8">
        <v>45874.37855528935</v>
      </c>
      <c r="B170" s="7" t="s">
        <v>204</v>
      </c>
      <c r="C170" s="7" t="s">
        <v>6</v>
      </c>
      <c r="D170" s="7" t="s">
        <v>30</v>
      </c>
      <c r="E170" s="7" t="s">
        <v>217</v>
      </c>
    </row>
    <row r="171" ht="15.75" customHeight="1">
      <c r="A171" s="8">
        <v>45874.40380650463</v>
      </c>
      <c r="B171" s="7" t="s">
        <v>221</v>
      </c>
      <c r="C171" s="7" t="s">
        <v>6</v>
      </c>
      <c r="D171" s="7" t="s">
        <v>30</v>
      </c>
      <c r="E171" s="7" t="s">
        <v>235</v>
      </c>
    </row>
    <row r="172" ht="15.75" customHeight="1">
      <c r="A172" s="8">
        <v>45874.44633085648</v>
      </c>
      <c r="B172" s="7" t="s">
        <v>131</v>
      </c>
      <c r="C172" s="7" t="s">
        <v>6</v>
      </c>
      <c r="D172" s="7" t="s">
        <v>30</v>
      </c>
      <c r="E172" s="7" t="s">
        <v>146</v>
      </c>
    </row>
    <row r="173" ht="15.75" customHeight="1">
      <c r="A173" s="8">
        <v>45874.47894945602</v>
      </c>
      <c r="B173" s="7" t="s">
        <v>5</v>
      </c>
      <c r="C173" s="7" t="s">
        <v>6</v>
      </c>
      <c r="D173" s="7" t="s">
        <v>30</v>
      </c>
      <c r="E173" s="7" t="s">
        <v>31</v>
      </c>
    </row>
    <row r="174" ht="15.75" customHeight="1">
      <c r="A174" s="8">
        <v>45874.56956503472</v>
      </c>
      <c r="B174" s="7" t="s">
        <v>60</v>
      </c>
      <c r="C174" s="7" t="s">
        <v>6</v>
      </c>
      <c r="D174" s="7" t="s">
        <v>30</v>
      </c>
      <c r="E174" s="7" t="s">
        <v>75</v>
      </c>
    </row>
    <row r="175" ht="15.75" customHeight="1">
      <c r="A175" s="8">
        <v>45874.585222002315</v>
      </c>
      <c r="B175" s="7" t="s">
        <v>79</v>
      </c>
      <c r="C175" s="7" t="s">
        <v>6</v>
      </c>
      <c r="D175" s="7" t="s">
        <v>30</v>
      </c>
      <c r="E175" s="7" t="s">
        <v>95</v>
      </c>
    </row>
    <row r="176" ht="15.75" customHeight="1">
      <c r="A176" s="8">
        <v>45876.469895092596</v>
      </c>
      <c r="B176" s="7" t="s">
        <v>60</v>
      </c>
      <c r="C176" s="7" t="s">
        <v>6</v>
      </c>
      <c r="D176" s="7" t="s">
        <v>76</v>
      </c>
      <c r="E176" s="7" t="s">
        <v>77</v>
      </c>
    </row>
    <row r="177" ht="15.75" customHeight="1">
      <c r="A177" s="8">
        <v>45881.465609074075</v>
      </c>
      <c r="B177" s="7" t="s">
        <v>150</v>
      </c>
      <c r="C177" s="7" t="s">
        <v>6</v>
      </c>
      <c r="D177" s="7" t="s">
        <v>30</v>
      </c>
      <c r="E177" s="7" t="s">
        <v>170</v>
      </c>
    </row>
    <row r="178" ht="15.75" customHeight="1">
      <c r="A178" s="8">
        <v>45883.57497405093</v>
      </c>
      <c r="B178" s="7" t="s">
        <v>187</v>
      </c>
      <c r="C178" s="7" t="s">
        <v>6</v>
      </c>
      <c r="D178" s="7" t="s">
        <v>30</v>
      </c>
      <c r="E178" s="7" t="s">
        <v>202</v>
      </c>
    </row>
    <row r="179" ht="15.75" customHeight="1">
      <c r="A179" s="8">
        <v>45911.40915721065</v>
      </c>
      <c r="B179" s="7" t="s">
        <v>39</v>
      </c>
      <c r="C179" s="7" t="s">
        <v>6</v>
      </c>
      <c r="D179" s="7" t="s">
        <v>32</v>
      </c>
      <c r="E179" s="7" t="s">
        <v>57</v>
      </c>
    </row>
    <row r="180" ht="15.75" customHeight="1">
      <c r="A180" s="8">
        <v>45911.40955675926</v>
      </c>
      <c r="B180" s="7" t="s">
        <v>171</v>
      </c>
      <c r="C180" s="7" t="s">
        <v>6</v>
      </c>
      <c r="D180" s="7" t="s">
        <v>32</v>
      </c>
      <c r="E180" s="7" t="s">
        <v>183</v>
      </c>
    </row>
    <row r="181" ht="15.75" customHeight="1">
      <c r="A181" s="8">
        <v>45911.60838002315</v>
      </c>
      <c r="B181" s="7" t="s">
        <v>79</v>
      </c>
      <c r="C181" s="7" t="s">
        <v>6</v>
      </c>
      <c r="D181" s="7" t="s">
        <v>32</v>
      </c>
      <c r="E181" s="7" t="s">
        <v>96</v>
      </c>
    </row>
    <row r="182" ht="15.75" customHeight="1">
      <c r="A182" s="8">
        <v>45911.64909359954</v>
      </c>
      <c r="B182" s="7" t="s">
        <v>204</v>
      </c>
      <c r="C182" s="7" t="s">
        <v>6</v>
      </c>
      <c r="D182" s="7" t="s">
        <v>32</v>
      </c>
      <c r="E182" s="7" t="s">
        <v>218</v>
      </c>
    </row>
    <row r="183" ht="15.75" customHeight="1">
      <c r="A183" s="8">
        <v>45911.698796192126</v>
      </c>
      <c r="B183" s="7" t="s">
        <v>187</v>
      </c>
      <c r="C183" s="7" t="s">
        <v>6</v>
      </c>
      <c r="D183" s="7" t="s">
        <v>32</v>
      </c>
      <c r="E183" s="7" t="s">
        <v>203</v>
      </c>
    </row>
    <row r="184" ht="15.75" customHeight="1">
      <c r="A184" s="8">
        <v>45923.448984201386</v>
      </c>
      <c r="B184" s="7" t="s">
        <v>5</v>
      </c>
      <c r="C184" s="7" t="s">
        <v>6</v>
      </c>
      <c r="D184" s="7" t="s">
        <v>32</v>
      </c>
      <c r="E184" s="7" t="s">
        <v>33</v>
      </c>
    </row>
    <row r="185" ht="15.75" customHeight="1">
      <c r="A185" s="8">
        <v>45930.41002034722</v>
      </c>
      <c r="B185" s="7" t="s">
        <v>60</v>
      </c>
      <c r="C185" s="7" t="s">
        <v>6</v>
      </c>
      <c r="D185" s="7" t="s">
        <v>32</v>
      </c>
      <c r="E185" s="7" t="s">
        <v>78</v>
      </c>
    </row>
    <row r="186" ht="15.75" customHeight="1">
      <c r="A186" s="8">
        <v>45930.44621582176</v>
      </c>
      <c r="B186" s="7" t="s">
        <v>131</v>
      </c>
      <c r="C186" s="7" t="s">
        <v>6</v>
      </c>
      <c r="D186" s="7" t="s">
        <v>32</v>
      </c>
      <c r="E186" s="7" t="s">
        <v>147</v>
      </c>
    </row>
    <row r="187" ht="15.75" customHeight="1">
      <c r="A187" s="8">
        <v>45930.503946261575</v>
      </c>
      <c r="B187" s="7" t="s">
        <v>221</v>
      </c>
      <c r="C187" s="7" t="s">
        <v>6</v>
      </c>
      <c r="D187" s="7" t="s">
        <v>236</v>
      </c>
      <c r="E187" s="7" t="s">
        <v>237</v>
      </c>
    </row>
    <row r="188" ht="15.75" customHeight="1">
      <c r="A188" s="8">
        <v>45943.406594687505</v>
      </c>
      <c r="B188" s="7" t="s">
        <v>221</v>
      </c>
      <c r="C188" s="7" t="s">
        <v>6</v>
      </c>
      <c r="D188" s="7" t="s">
        <v>25</v>
      </c>
      <c r="E188" s="7" t="s">
        <v>238</v>
      </c>
    </row>
    <row r="189" ht="15.75" customHeight="1">
      <c r="A189" s="8">
        <v>45951.64352373843</v>
      </c>
      <c r="B189" s="7" t="s">
        <v>204</v>
      </c>
      <c r="C189" s="7" t="s">
        <v>6</v>
      </c>
      <c r="D189" s="7" t="s">
        <v>43</v>
      </c>
      <c r="E189" s="7" t="s">
        <v>219</v>
      </c>
    </row>
    <row r="190" ht="15.75" customHeight="1">
      <c r="A190" s="8">
        <v>45951.659070995374</v>
      </c>
      <c r="B190" s="7" t="s">
        <v>171</v>
      </c>
      <c r="C190" s="7" t="s">
        <v>6</v>
      </c>
      <c r="D190" s="7" t="s">
        <v>58</v>
      </c>
      <c r="E190" s="7" t="s">
        <v>184</v>
      </c>
    </row>
    <row r="191" ht="15.75" customHeight="1">
      <c r="A191" s="8">
        <v>45951.7703387037</v>
      </c>
      <c r="B191" s="7" t="s">
        <v>39</v>
      </c>
      <c r="C191" s="7" t="s">
        <v>6</v>
      </c>
      <c r="D191" s="7" t="s">
        <v>58</v>
      </c>
      <c r="E191" s="7" t="s">
        <v>59</v>
      </c>
    </row>
    <row r="192" ht="15.75" customHeight="1">
      <c r="A192" s="8">
        <v>45952.41514604166</v>
      </c>
      <c r="B192" s="7" t="s">
        <v>171</v>
      </c>
      <c r="C192" s="7" t="s">
        <v>6</v>
      </c>
      <c r="D192" s="7" t="s">
        <v>32</v>
      </c>
      <c r="E192" s="7" t="s">
        <v>185</v>
      </c>
    </row>
    <row r="193" ht="15.75" customHeight="1">
      <c r="A193" s="8">
        <v>45958.54312292824</v>
      </c>
      <c r="B193" s="7" t="s">
        <v>97</v>
      </c>
      <c r="C193" s="7" t="s">
        <v>6</v>
      </c>
      <c r="D193" s="7" t="s">
        <v>120</v>
      </c>
      <c r="E193" s="7" t="s">
        <v>121</v>
      </c>
    </row>
    <row r="194" ht="15.75" customHeight="1">
      <c r="A194" s="8">
        <v>45959.45370752315</v>
      </c>
      <c r="B194" s="7" t="s">
        <v>131</v>
      </c>
      <c r="C194" s="7" t="s">
        <v>6</v>
      </c>
      <c r="D194" s="7" t="s">
        <v>32</v>
      </c>
      <c r="E194" s="7" t="s">
        <v>148</v>
      </c>
    </row>
    <row r="195" ht="15.75" customHeight="1">
      <c r="A195" s="8">
        <v>45959.47886832176</v>
      </c>
      <c r="B195" s="7" t="s">
        <v>171</v>
      </c>
      <c r="C195" s="7" t="s">
        <v>6</v>
      </c>
      <c r="D195" s="7" t="s">
        <v>32</v>
      </c>
      <c r="E195" s="7" t="s">
        <v>186</v>
      </c>
    </row>
    <row r="196" ht="15.75" customHeight="1">
      <c r="A196" s="8">
        <v>45965.38606983796</v>
      </c>
      <c r="B196" s="7" t="s">
        <v>221</v>
      </c>
      <c r="C196" s="7" t="s">
        <v>6</v>
      </c>
      <c r="D196" s="7" t="s">
        <v>239</v>
      </c>
      <c r="E196" s="7" t="s">
        <v>240</v>
      </c>
    </row>
    <row r="197" ht="15.75" customHeight="1">
      <c r="A197" s="8">
        <v>45965.42020815972</v>
      </c>
      <c r="B197" s="7" t="s">
        <v>204</v>
      </c>
      <c r="C197" s="7" t="s">
        <v>6</v>
      </c>
      <c r="D197" s="7" t="s">
        <v>34</v>
      </c>
      <c r="E197" s="7" t="s">
        <v>220</v>
      </c>
    </row>
    <row r="198" ht="15.75" customHeight="1">
      <c r="A198" s="8">
        <v>45965.45641695602</v>
      </c>
      <c r="B198" s="7" t="s">
        <v>5</v>
      </c>
      <c r="C198" s="7" t="s">
        <v>6</v>
      </c>
      <c r="D198" s="7" t="s">
        <v>34</v>
      </c>
      <c r="E198" s="7" t="s">
        <v>35</v>
      </c>
    </row>
    <row r="199" ht="15.75" customHeight="1">
      <c r="A199" s="8">
        <v>45994.7376825463</v>
      </c>
      <c r="B199" s="7" t="s">
        <v>97</v>
      </c>
      <c r="C199" s="7" t="s">
        <v>6</v>
      </c>
      <c r="D199" s="7" t="s">
        <v>122</v>
      </c>
      <c r="E199" s="7" t="s">
        <v>123</v>
      </c>
    </row>
    <row r="200" ht="15.75" customHeight="1">
      <c r="A200" s="8">
        <v>46002.49060348379</v>
      </c>
      <c r="B200" s="7" t="s">
        <v>97</v>
      </c>
      <c r="C200" s="7" t="s">
        <v>6</v>
      </c>
      <c r="D200" s="7" t="s">
        <v>12</v>
      </c>
      <c r="E200" s="7" t="s">
        <v>124</v>
      </c>
    </row>
    <row r="201" ht="15.75" customHeight="1">
      <c r="A201" s="9">
        <v>44945.604166666664</v>
      </c>
      <c r="B201" s="7" t="s">
        <v>97</v>
      </c>
      <c r="C201" s="7" t="s">
        <v>6</v>
      </c>
      <c r="D201" s="7" t="s">
        <v>9</v>
      </c>
      <c r="E201" s="7" t="s">
        <v>104</v>
      </c>
    </row>
    <row r="202" ht="15.75" customHeight="1">
      <c r="A202" s="9">
        <v>44967.708333333336</v>
      </c>
      <c r="B202" s="7" t="s">
        <v>131</v>
      </c>
      <c r="C202" s="7" t="s">
        <v>6</v>
      </c>
      <c r="D202" s="7" t="s">
        <v>9</v>
      </c>
      <c r="E202" s="7" t="s">
        <v>136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5.38"/>
    <col customWidth="1" min="3" max="3" width="40.5"/>
    <col customWidth="1" min="4" max="4" width="133.25"/>
    <col customWidth="1" min="5" max="6" width="12.63"/>
  </cols>
  <sheetData>
    <row r="1" ht="15.75" customHeight="1">
      <c r="A1" s="10" t="s">
        <v>253</v>
      </c>
      <c r="C1" s="7" t="s">
        <v>254</v>
      </c>
    </row>
    <row r="2" ht="15.75" customHeight="1">
      <c r="A2" s="7" t="s">
        <v>255</v>
      </c>
      <c r="C2" s="7" t="s">
        <v>256</v>
      </c>
    </row>
    <row r="3" ht="15.75" customHeight="1">
      <c r="A3" s="7" t="s">
        <v>257</v>
      </c>
      <c r="C3" s="7" t="s">
        <v>258</v>
      </c>
    </row>
    <row r="4" ht="15.75" customHeight="1">
      <c r="A4" s="7" t="s">
        <v>259</v>
      </c>
      <c r="C4" s="7" t="s">
        <v>260</v>
      </c>
    </row>
    <row r="5" ht="15.75" customHeight="1"/>
    <row r="6" ht="15.75" customHeight="1">
      <c r="A6" s="11" t="s">
        <v>261</v>
      </c>
      <c r="B6" s="12"/>
      <c r="C6" s="12"/>
      <c r="D6" s="12"/>
    </row>
    <row r="7" ht="15.75" customHeight="1">
      <c r="A7" s="10" t="s">
        <v>252</v>
      </c>
      <c r="B7" s="10" t="s">
        <v>2</v>
      </c>
      <c r="C7" s="10" t="s">
        <v>3</v>
      </c>
      <c r="D7" s="10" t="s">
        <v>4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15.75" customHeight="1">
      <c r="A8" s="8">
        <f>IFERROR(__xludf.DUMMYFUNCTION("FILTER(Form_responses!A:A, Form_responses!B:B=""BETH"")"),44894.66888508102)</f>
        <v>44894.66889</v>
      </c>
      <c r="B8" s="7" t="str">
        <f>IFERROR(__xludf.DUMMYFUNCTION("FILTER(Form_responses!C:E, Form_responses!B:B=""BETH"")"),"Floreana")</f>
        <v>Floreana</v>
      </c>
      <c r="C8" s="7" t="str">
        <f>IFERROR(__xludf.DUMMYFUNCTION("""COMPUTED_VALUE"""),"New installation, Logger replacement")</f>
        <v>New installation, Logger replacement</v>
      </c>
      <c r="D8" s="7" t="str">
        <f>IFERROR(__xludf.DUMMYFUNCTION("""COMPUTED_VALUE"""),"New Pluvimate logger, programmed to start logging on 30.11.2022 at 00:00UTC")</f>
        <v>New Pluvimate logger, programmed to start logging on 30.11.2022 at 00:00UTC</v>
      </c>
    </row>
    <row r="9" ht="15.75" customHeight="1">
      <c r="A9" s="8">
        <f>IFERROR(__xludf.DUMMYFUNCTION("""COMPUTED_VALUE"""),44964.6412803125)</f>
        <v>44964.64128</v>
      </c>
      <c r="B9" s="7" t="str">
        <f>IFERROR(__xludf.DUMMYFUNCTION("""COMPUTED_VALUE"""),"Floreana")</f>
        <v>Floreana</v>
      </c>
      <c r="C9" s="7" t="str">
        <f>IFERROR(__xludf.DUMMYFUNCTION("""COMPUTED_VALUE"""),"Data download")</f>
        <v>Data download</v>
      </c>
      <c r="D9" s="7" t="str">
        <f>IFERROR(__xludf.DUMMYFUNCTION("""COMPUTED_VALUE"""),"Data download, rescheduled to start logging at 14:45 UTC ")</f>
        <v>Data download, rescheduled to start logging at 14:45 UTC </v>
      </c>
    </row>
    <row r="10" ht="15.75" customHeight="1">
      <c r="A10" s="8">
        <f>IFERROR(__xludf.DUMMYFUNCTION("""COMPUTED_VALUE"""),45014.66527354167)</f>
        <v>45014.66527</v>
      </c>
      <c r="B10" s="7" t="str">
        <f>IFERROR(__xludf.DUMMYFUNCTION("""COMPUTED_VALUE"""),"Floreana")</f>
        <v>Floreana</v>
      </c>
      <c r="C10" s="7" t="str">
        <f>IFERROR(__xludf.DUMMYFUNCTION("""COMPUTED_VALUE"""),"Data download")</f>
        <v>Data download</v>
      </c>
      <c r="D10" s="7" t="str">
        <f>IFERROR(__xludf.DUMMYFUNCTION("""COMPUTED_VALUE"""),"Data download, rescheduled to start logging at 14:00UTC")</f>
        <v>Data download, rescheduled to start logging at 14:00UTC</v>
      </c>
    </row>
    <row r="11" ht="15.75" customHeight="1">
      <c r="A11" s="8">
        <f>IFERROR(__xludf.DUMMYFUNCTION("""COMPUTED_VALUE"""),45071.6389084838)</f>
        <v>45071.63891</v>
      </c>
      <c r="B11" s="7" t="str">
        <f>IFERROR(__xludf.DUMMYFUNCTION("""COMPUTED_VALUE"""),"Floreana")</f>
        <v>Floreana</v>
      </c>
      <c r="C11" s="7" t="str">
        <f>IFERROR(__xludf.DUMMYFUNCTION("""COMPUTED_VALUE"""),"Data download, Logger replacement")</f>
        <v>Data download, Logger replacement</v>
      </c>
      <c r="D11" s="7" t="str">
        <f>IFERROR(__xludf.DUMMYFUNCTION("""COMPUTED_VALUE"""),"Data download - only 0 values despite rain! Perhaps not correctly placed unter funnel? Replaced logger and removed metal sponge - new logger BETH2 start logging at 13:30 UTC")</f>
        <v>Data download - only 0 values despite rain! Perhaps not correctly placed unter funnel? Replaced logger and removed metal sponge - new logger BETH2 start logging at 13:30 UTC</v>
      </c>
    </row>
    <row r="12" ht="15.75" customHeight="1">
      <c r="A12" s="8">
        <f>IFERROR(__xludf.DUMMYFUNCTION("""COMPUTED_VALUE"""),45126.60321364584)</f>
        <v>45126.60321</v>
      </c>
      <c r="B12" s="7" t="str">
        <f>IFERROR(__xludf.DUMMYFUNCTION("""COMPUTED_VALUE"""),"Floreana")</f>
        <v>Floreana</v>
      </c>
      <c r="C12" s="7" t="str">
        <f>IFERROR(__xludf.DUMMYFUNCTION("""COMPUTED_VALUE"""),"Data download")</f>
        <v>Data download</v>
      </c>
      <c r="D12" s="7" t="str">
        <f>IFERROR(__xludf.DUMMYFUNCTION("""COMPUTED_VALUE"""),"Rescheduled logging for 12:30UTC")</f>
        <v>Rescheduled logging for 12:30UTC</v>
      </c>
    </row>
    <row r="13" ht="15.75" customHeight="1">
      <c r="A13" s="8">
        <f>IFERROR(__xludf.DUMMYFUNCTION("""COMPUTED_VALUE"""),45173.378496516205)</f>
        <v>45173.3785</v>
      </c>
      <c r="B13" s="7" t="str">
        <f>IFERROR(__xludf.DUMMYFUNCTION("""COMPUTED_VALUE"""),"Dan")</f>
        <v>Dan</v>
      </c>
      <c r="C13" s="7" t="str">
        <f>IFERROR(__xludf.DUMMYFUNCTION("""COMPUTED_VALUE"""),"Data download")</f>
        <v>Data download</v>
      </c>
      <c r="D13" s="7" t="str">
        <f>IFERROR(__xludf.DUMMYFUNCTION("""COMPUTED_VALUE"""),"Nearly only 0 valeurs, certainly due to the tube not straight, tried to make it stay straight ")</f>
        <v>Nearly only 0 valeurs, certainly due to the tube not straight, tried to make it stay straight </v>
      </c>
    </row>
    <row r="14" ht="15.75" customHeight="1">
      <c r="A14" s="8">
        <f>IFERROR(__xludf.DUMMYFUNCTION("""COMPUTED_VALUE"""),45217.434808252314)</f>
        <v>45217.43481</v>
      </c>
      <c r="B14" s="7" t="str">
        <f>IFERROR(__xludf.DUMMYFUNCTION("""COMPUTED_VALUE"""),"Dan")</f>
        <v>Dan</v>
      </c>
      <c r="C14" s="7" t="str">
        <f>IFERROR(__xludf.DUMMYFUNCTION("""COMPUTED_VALUE"""),"Data download")</f>
        <v>Data download</v>
      </c>
      <c r="D14" s="7" t="str">
        <f>IFERROR(__xludf.DUMMYFUNCTION("""COMPUTED_VALUE"""),"Data download, restarted logger for 8:45 UTC
Placed the PVC tube better")</f>
        <v>Data download, restarted logger for 8:45 UTC
Placed the PVC tube better</v>
      </c>
    </row>
    <row r="15" ht="15.75" customHeight="1">
      <c r="A15" s="8">
        <f>IFERROR(__xludf.DUMMYFUNCTION("""COMPUTED_VALUE"""),45278.390924618056)</f>
        <v>45278.39092</v>
      </c>
      <c r="B15" s="7" t="str">
        <f>IFERROR(__xludf.DUMMYFUNCTION("""COMPUTED_VALUE"""),"Dan")</f>
        <v>Dan</v>
      </c>
      <c r="C15" s="7" t="str">
        <f>IFERROR(__xludf.DUMMYFUNCTION("""COMPUTED_VALUE"""),"New installation, Data download")</f>
        <v>New installation, Data download</v>
      </c>
      <c r="D15" s="7" t="str">
        <f>IFERROR(__xludf.DUMMYFUNCTION("""COMPUTED_VALUE"""),"Started the new omega installation at 8:30 UTC, downloaded data from previous pluvimate ")</f>
        <v>Started the new omega installation at 8:30 UTC, downloaded data from previous pluvimate </v>
      </c>
    </row>
    <row r="16" ht="15.75" customHeight="1">
      <c r="A16" s="8">
        <f>IFERROR(__xludf.DUMMYFUNCTION("""COMPUTED_VALUE"""),45610.56731798611)</f>
        <v>45610.56732</v>
      </c>
      <c r="B16" s="7" t="str">
        <f>IFERROR(__xludf.DUMMYFUNCTION("""COMPUTED_VALUE"""),"Floreana")</f>
        <v>Floreana</v>
      </c>
      <c r="C16" s="7" t="str">
        <f>IFERROR(__xludf.DUMMYFUNCTION("""COMPUTED_VALUE"""),"Logger replacement")</f>
        <v>Logger replacement</v>
      </c>
      <c r="D16" s="7" t="str">
        <f>IFERROR(__xludf.DUMMYFUNCTION("""COMPUTED_VALUE"""),"Logger not responding, return to office, replaced by simple system. Logging restarted for 12:45 UTC")</f>
        <v>Logger not responding, return to office, replaced by simple system. Logging restarted for 12:45 UTC</v>
      </c>
    </row>
    <row r="17" ht="15.75" customHeight="1">
      <c r="A17" s="8">
        <f>IFERROR(__xludf.DUMMYFUNCTION("""COMPUTED_VALUE"""),45611.63027982639)</f>
        <v>45611.63028</v>
      </c>
      <c r="B17" s="7" t="str">
        <f>IFERROR(__xludf.DUMMYFUNCTION("""COMPUTED_VALUE"""),"Floreana")</f>
        <v>Floreana</v>
      </c>
      <c r="C17" s="7" t="str">
        <f>IFERROR(__xludf.DUMMYFUNCTION("""COMPUTED_VALUE"""),"Data download, Repair / Cleaning")</f>
        <v>Data download, Repair / Cleaning</v>
      </c>
      <c r="D17" s="7" t="str">
        <f>IFERROR(__xludf.DUMMYFUNCTION("""COMPUTED_VALUE"""),"Battery dead, will order new battery. Data retrieved")</f>
        <v>Battery dead, will order new battery. Data retrieved</v>
      </c>
    </row>
    <row r="18" ht="15.75" customHeight="1">
      <c r="A18" s="8">
        <f>IFERROR(__xludf.DUMMYFUNCTION("""COMPUTED_VALUE"""),45616.66382581019)</f>
        <v>45616.66383</v>
      </c>
      <c r="B18" s="7" t="str">
        <f>IFERROR(__xludf.DUMMYFUNCTION("""COMPUTED_VALUE"""),"Floreana")</f>
        <v>Floreana</v>
      </c>
      <c r="C18" s="7" t="str">
        <f>IFERROR(__xludf.DUMMYFUNCTION("""COMPUTED_VALUE"""),"Data download, Logger replacement")</f>
        <v>Data download, Logger replacement</v>
      </c>
      <c r="D18" s="7" t="str">
        <f>IFERROR(__xludf.DUMMYFUNCTION("""COMPUTED_VALUE"""),"Long-term logger with changed powering system installed. Logging started at 15:00 UTC")</f>
        <v>Long-term logger with changed powering system installed. Logging started at 15:00 UTC</v>
      </c>
    </row>
    <row r="19" ht="15.75" customHeight="1">
      <c r="A19" s="8">
        <f>IFERROR(__xludf.DUMMYFUNCTION("""COMPUTED_VALUE"""),45623.656151979165)</f>
        <v>45623.65615</v>
      </c>
      <c r="B19" s="7" t="str">
        <f>IFERROR(__xludf.DUMMYFUNCTION("""COMPUTED_VALUE"""),"Floreana")</f>
        <v>Floreana</v>
      </c>
      <c r="C19" s="7" t="str">
        <f>IFERROR(__xludf.DUMMYFUNCTION("""COMPUTED_VALUE"""),"Logger replacement, Repair / Cleaning")</f>
        <v>Logger replacement, Repair / Cleaning</v>
      </c>
      <c r="D19" s="7" t="str">
        <f>IFERROR(__xludf.DUMMYFUNCTION("""COMPUTED_VALUE"""),"Logger improvement.data downloaded before change: only 0 values since last week, because of bad cable. Will not upload the data to server.")</f>
        <v>Logger improvement.data downloaded before change: only 0 values since last week, because of bad cable. Will not upload the data to server.</v>
      </c>
    </row>
    <row r="20" ht="15.75" customHeight="1">
      <c r="A20" s="8">
        <f>IFERROR(__xludf.DUMMYFUNCTION("""COMPUTED_VALUE"""),45755.58073465277)</f>
        <v>45755.58073</v>
      </c>
      <c r="B20" s="7" t="str">
        <f>IFERROR(__xludf.DUMMYFUNCTION("""COMPUTED_VALUE"""),"Floreana")</f>
        <v>Floreana</v>
      </c>
      <c r="C20" s="7" t="str">
        <f>IFERROR(__xludf.DUMMYFUNCTION("""COMPUTED_VALUE"""),"Logger replacement")</f>
        <v>Logger replacement</v>
      </c>
      <c r="D20" s="7" t="str">
        <f>IFERROR(__xludf.DUMMYFUNCTION("""COMPUTED_VALUE"""),"Replaced system with simple pluvimate, starting at 12:15UTC. Returning system to office for repair and datadownload")</f>
        <v>Replaced system with simple pluvimate, starting at 12:15UTC. Returning system to office for repair and datadownload</v>
      </c>
    </row>
    <row r="21" ht="15.75" customHeight="1">
      <c r="A21" s="8">
        <f>IFERROR(__xludf.DUMMYFUNCTION("""COMPUTED_VALUE"""),45757.48087935185)</f>
        <v>45757.48088</v>
      </c>
      <c r="B21" s="7" t="str">
        <f>IFERROR(__xludf.DUMMYFUNCTION("""COMPUTED_VALUE"""),"Floreana")</f>
        <v>Floreana</v>
      </c>
      <c r="C21" s="7" t="str">
        <f>IFERROR(__xludf.DUMMYFUNCTION("""COMPUTED_VALUE"""),"Data download")</f>
        <v>Data download</v>
      </c>
      <c r="D21" s="7" t="str">
        <f>IFERROR(__xludf.DUMMYFUNCTION("""COMPUTED_VALUE"""),"Manual data download at office after battery found empty in field. Only zero values! Logger not working?")</f>
        <v>Manual data download at office after battery found empty in field. Only zero values! Logger not working?</v>
      </c>
    </row>
    <row r="22" ht="15.75" customHeight="1">
      <c r="A22" s="8">
        <f>IFERROR(__xludf.DUMMYFUNCTION("""COMPUTED_VALUE"""),45820.57258894676)</f>
        <v>45820.57259</v>
      </c>
      <c r="B22" s="7" t="str">
        <f>IFERROR(__xludf.DUMMYFUNCTION("""COMPUTED_VALUE"""),"Floreana")</f>
        <v>Floreana</v>
      </c>
      <c r="C22" s="7" t="str">
        <f>IFERROR(__xludf.DUMMYFUNCTION("""COMPUTED_VALUE"""),"Data download")</f>
        <v>Data download</v>
      </c>
      <c r="D22" s="7" t="str">
        <f>IFERROR(__xludf.DUMMYFUNCTION("""COMPUTED_VALUE"""),"Logging restarted for 09:45UTC")</f>
        <v>Logging restarted for 09:45UTC</v>
      </c>
    </row>
    <row r="23" ht="15.75" customHeight="1">
      <c r="A23" s="8">
        <f>IFERROR(__xludf.DUMMYFUNCTION("""COMPUTED_VALUE"""),45874.47894945602)</f>
        <v>45874.47895</v>
      </c>
      <c r="B23" s="7" t="str">
        <f>IFERROR(__xludf.DUMMYFUNCTION("""COMPUTED_VALUE"""),"Floreana")</f>
        <v>Floreana</v>
      </c>
      <c r="C23" s="7" t="str">
        <f>IFERROR(__xludf.DUMMYFUNCTION("""COMPUTED_VALUE"""),"New installation, Data download, Logger replacement")</f>
        <v>New installation, Data download, Logger replacement</v>
      </c>
      <c r="D23" s="7" t="str">
        <f>IFERROR(__xludf.DUMMYFUNCTION("""COMPUTED_VALUE"""),"LoRa system installed and counter cleared. Starting at approx. 09:28 UTC")</f>
        <v>LoRa system installed and counter cleared. Starting at approx. 09:28 UTC</v>
      </c>
    </row>
    <row r="24" ht="15.75" customHeight="1">
      <c r="A24" s="8">
        <f>IFERROR(__xludf.DUMMYFUNCTION("""COMPUTED_VALUE"""),45923.448984201386)</f>
        <v>45923.44898</v>
      </c>
      <c r="B24" s="7" t="str">
        <f>IFERROR(__xludf.DUMMYFUNCTION("""COMPUTED_VALUE"""),"Floreana")</f>
        <v>Floreana</v>
      </c>
      <c r="C24" s="7" t="str">
        <f>IFERROR(__xludf.DUMMYFUNCTION("""COMPUTED_VALUE"""),"Repair / Cleaning")</f>
        <v>Repair / Cleaning</v>
      </c>
      <c r="D24" s="7" t="str">
        <f>IFERROR(__xludf.DUMMYFUNCTION("""COMPUTED_VALUE"""),"Refitted cables, restarted station. 08:42UTC")</f>
        <v>Refitted cables, restarted station. 08:42UTC</v>
      </c>
    </row>
    <row r="25" ht="15.75" customHeight="1">
      <c r="A25" s="8">
        <f>IFERROR(__xludf.DUMMYFUNCTION("""COMPUTED_VALUE"""),45965.45641695602)</f>
        <v>45965.45642</v>
      </c>
      <c r="B25" s="7" t="str">
        <f>IFERROR(__xludf.DUMMYFUNCTION("""COMPUTED_VALUE"""),"Floreana")</f>
        <v>Floreana</v>
      </c>
      <c r="C25" s="7" t="str">
        <f>IFERROR(__xludf.DUMMYFUNCTION("""COMPUTED_VALUE"""),"New installation, Repair / Cleaning")</f>
        <v>New installation, Repair / Cleaning</v>
      </c>
      <c r="D25" s="7" t="str">
        <f>IFERROR(__xludf.DUMMYFUNCTION("""COMPUTED_VALUE"""),"Placed additional old sensor, logging starting 10:00UTC. Restarted LoRa system, no network at the moment, funnel is missing calibration piece!!")</f>
        <v>Placed additional old sensor, logging starting 10:00UTC. Restarted LoRa system, no network at the moment, funnel is missing calibration piece!!</v>
      </c>
    </row>
    <row r="26" ht="15.75" customHeight="1">
      <c r="A26" s="13">
        <f>IFERROR(__xludf.DUMMYFUNCTION("""COMPUTED_VALUE"""),46086.58592798611)</f>
        <v>46086.58593</v>
      </c>
      <c r="B26" s="14" t="str">
        <f>IFERROR(__xludf.DUMMYFUNCTION("""COMPUTED_VALUE"""),"Charlotte and Haris")</f>
        <v>Charlotte and Haris</v>
      </c>
      <c r="C26" s="14" t="str">
        <f>IFERROR(__xludf.DUMMYFUNCTION("""COMPUTED_VALUE"""),"New installation, Data download, Reboot")</f>
        <v>New installation, Data download, Reboot</v>
      </c>
      <c r="D26" s="14" t="str">
        <f>IFERROR(__xludf.DUMMYFUNCTION("""COMPUTED_VALUE"""),"Installed the LoRa one and downloaded the data from the old system and rebooted it")</f>
        <v>Installed the LoRa one and downloaded the data from the old system and rebooted it</v>
      </c>
    </row>
    <row r="27" ht="15.75" customHeight="1">
      <c r="A27" s="13">
        <f>IFERROR(__xludf.DUMMYFUNCTION("""COMPUTED_VALUE"""),46114.47333482638)</f>
        <v>46114.47333</v>
      </c>
      <c r="B27" s="14" t="str">
        <f>IFERROR(__xludf.DUMMYFUNCTION("""COMPUTED_VALUE"""),"Charlotte")</f>
        <v>Charlotte</v>
      </c>
      <c r="C27" s="14" t="str">
        <f>IFERROR(__xludf.DUMMYFUNCTION("""COMPUTED_VALUE"""),"Data download")</f>
        <v>Data download</v>
      </c>
      <c r="D27" s="14" t="str">
        <f>IFERROR(__xludf.DUMMYFUNCTION("""COMPUTED_VALUE"""),"Download data from old system. Restart logging at 13:45 UTC + 1. Be Careful, it is not UTC but UTC +1 (not swiss summer time). ")</f>
        <v>Download data from old system. Restart logging at 13:45 UTC + 1. Be Careful, it is not UTC but UTC +1 (not swiss summer time). 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9.25"/>
    <col customWidth="1" min="3" max="3" width="41.38"/>
    <col customWidth="1" min="4" max="4" width="116.88"/>
  </cols>
  <sheetData>
    <row r="1" ht="15.75" customHeight="1">
      <c r="A1" s="10" t="s">
        <v>262</v>
      </c>
      <c r="C1" s="7" t="s">
        <v>254</v>
      </c>
    </row>
    <row r="2" ht="15.75" customHeight="1">
      <c r="A2" s="7" t="s">
        <v>263</v>
      </c>
      <c r="C2" s="7" t="s">
        <v>264</v>
      </c>
    </row>
    <row r="3" ht="15.75" customHeight="1">
      <c r="A3" s="7" t="s">
        <v>265</v>
      </c>
      <c r="C3" s="7" t="s">
        <v>266</v>
      </c>
    </row>
    <row r="4" ht="15.75" customHeight="1">
      <c r="A4" s="7" t="s">
        <v>267</v>
      </c>
      <c r="C4" s="7" t="s">
        <v>268</v>
      </c>
    </row>
    <row r="5" ht="15.75" customHeight="1"/>
    <row r="6" ht="15.75" customHeight="1">
      <c r="A6" s="10" t="s">
        <v>261</v>
      </c>
      <c r="B6" s="10"/>
      <c r="C6" s="10"/>
      <c r="D6" s="10"/>
    </row>
    <row r="7" ht="15.75" customHeight="1">
      <c r="A7" s="11" t="s">
        <v>252</v>
      </c>
      <c r="B7" s="11" t="s">
        <v>2</v>
      </c>
      <c r="C7" s="11" t="s">
        <v>3</v>
      </c>
      <c r="D7" s="11" t="s">
        <v>4</v>
      </c>
    </row>
    <row r="8" ht="15.75" customHeight="1">
      <c r="A8" s="8">
        <f>IFERROR(__xludf.DUMMYFUNCTION("FILTER(Form_responses!A:A, Form_responses!B:B=""BOIS"")"),44901.69646760417)</f>
        <v>44901.69647</v>
      </c>
      <c r="B8" s="7" t="str">
        <f>IFERROR(__xludf.DUMMYFUNCTION("FILTER(Form_responses!C:E, Form_responses!B:B=""BOIS"")"),"Floreana")</f>
        <v>Floreana</v>
      </c>
      <c r="C8" s="7" t="str">
        <f>IFERROR(__xludf.DUMMYFUNCTION("""COMPUTED_VALUE"""),"new logging program")</f>
        <v>new logging program</v>
      </c>
      <c r="D8" s="7" t="str">
        <f>IFERROR(__xludf.DUMMYFUNCTION("""COMPUTED_VALUE"""),"installation was delayed, so restarted logging to 08.12.2022 at 00:00UTC")</f>
        <v>installation was delayed, so restarted logging to 08.12.2022 at 00:00UTC</v>
      </c>
    </row>
    <row r="9" ht="15.75" customHeight="1">
      <c r="A9" s="8">
        <f>IFERROR(__xludf.DUMMYFUNCTION("""COMPUTED_VALUE"""),44902.43336834491)</f>
        <v>44902.43337</v>
      </c>
      <c r="B9" s="7" t="str">
        <f>IFERROR(__xludf.DUMMYFUNCTION("""COMPUTED_VALUE"""),"Aurélien")</f>
        <v>Aurélien</v>
      </c>
      <c r="C9" s="7" t="str">
        <f>IFERROR(__xludf.DUMMYFUNCTION("""COMPUTED_VALUE"""),"New installation")</f>
        <v>New installation</v>
      </c>
      <c r="D9" s="7" t="str">
        <f>IFERROR(__xludf.DUMMYFUNCTION("""COMPUTED_VALUE"""),"New Pluvimate placed in tube.")</f>
        <v>New Pluvimate placed in tube.</v>
      </c>
    </row>
    <row r="10" ht="15.75" customHeight="1">
      <c r="A10" s="8">
        <f>IFERROR(__xludf.DUMMYFUNCTION("""COMPUTED_VALUE"""),44979.57537438658)</f>
        <v>44979.57537</v>
      </c>
      <c r="B10" s="7" t="str">
        <f>IFERROR(__xludf.DUMMYFUNCTION("""COMPUTED_VALUE"""),"Aurélien")</f>
        <v>Aurélien</v>
      </c>
      <c r="C10" s="7" t="str">
        <f>IFERROR(__xludf.DUMMYFUNCTION("""COMPUTED_VALUE"""),"Data download")</f>
        <v>Data download</v>
      </c>
      <c r="D10" s="7" t="str">
        <f>IFERROR(__xludf.DUMMYFUNCTION("""COMPUTED_VALUE"""),"E31
Data download and rescheduled logging to 13:00 UTC")</f>
        <v>E31
Data download and rescheduled logging to 13:00 UTC</v>
      </c>
    </row>
    <row r="11" ht="15.75" customHeight="1">
      <c r="A11" s="8">
        <f>IFERROR(__xludf.DUMMYFUNCTION("""COMPUTED_VALUE"""),45041.54604885417)</f>
        <v>45041.54605</v>
      </c>
      <c r="B11" s="7" t="str">
        <f>IFERROR(__xludf.DUMMYFUNCTION("""COMPUTED_VALUE"""),"Aurélien")</f>
        <v>Aurélien</v>
      </c>
      <c r="C11" s="7" t="str">
        <f>IFERROR(__xludf.DUMMYFUNCTION("""COMPUTED_VALUE"""),"Data download, Logger replacement")</f>
        <v>Data download, Logger replacement</v>
      </c>
      <c r="D11" s="7" t="str">
        <f>IFERROR(__xludf.DUMMYFUNCTION("""COMPUTED_VALUE"""),"replacement of the pluvimate datalogger by a system consisting of a pluvimate sensor and a radiologger, offline capacity 231 days with sampling at 3 minutes")</f>
        <v>replacement of the pluvimate datalogger by a system consisting of a pluvimate sensor and a radiologger, offline capacity 231 days with sampling at 3 minutes</v>
      </c>
    </row>
    <row r="12" ht="15.75" customHeight="1">
      <c r="A12" s="8">
        <f>IFERROR(__xludf.DUMMYFUNCTION("""COMPUTED_VALUE"""),45351.35415857639)</f>
        <v>45351.35416</v>
      </c>
      <c r="B12" s="7" t="str">
        <f>IFERROR(__xludf.DUMMYFUNCTION("""COMPUTED_VALUE"""),"Dan")</f>
        <v>Dan</v>
      </c>
      <c r="C12" s="7" t="str">
        <f>IFERROR(__xludf.DUMMYFUNCTION("""COMPUTED_VALUE"""),"New installation")</f>
        <v>New installation</v>
      </c>
      <c r="D12" s="7" t="str">
        <f>IFERROR(__xludf.DUMMYFUNCTION("""COMPUTED_VALUE"""),"Omega datalogger started at 7:45UTC")</f>
        <v>Omega datalogger started at 7:45UTC</v>
      </c>
    </row>
    <row r="13" ht="15.75" customHeight="1">
      <c r="A13" s="8">
        <f>IFERROR(__xludf.DUMMYFUNCTION("""COMPUTED_VALUE"""),45352.363495185185)</f>
        <v>45352.3635</v>
      </c>
      <c r="B13" s="7" t="str">
        <f>IFERROR(__xludf.DUMMYFUNCTION("""COMPUTED_VALUE"""),"Aurélien")</f>
        <v>Aurélien</v>
      </c>
      <c r="C13" s="7" t="str">
        <f>IFERROR(__xludf.DUMMYFUNCTION("""COMPUTED_VALUE"""),"Data download")</f>
        <v>Data download</v>
      </c>
      <c r="D13" s="7" t="str">
        <f>IFERROR(__xludf.DUMMYFUNCTION("""COMPUTED_VALUE"""),"Radio logger back to office, (replacement on the field by Omega datalogger), data downloaded from office ")</f>
        <v>Radio logger back to office, (replacement on the field by Omega datalogger), data downloaded from office </v>
      </c>
    </row>
    <row r="14" ht="15.75" customHeight="1">
      <c r="A14" s="8">
        <f>IFERROR(__xludf.DUMMYFUNCTION("""COMPUTED_VALUE"""),45616.36418752315)</f>
        <v>45616.36419</v>
      </c>
      <c r="B14" s="7" t="str">
        <f>IFERROR(__xludf.DUMMYFUNCTION("""COMPUTED_VALUE"""),"Floreana")</f>
        <v>Floreana</v>
      </c>
      <c r="C14" s="7" t="str">
        <f>IFERROR(__xludf.DUMMYFUNCTION("""COMPUTED_VALUE"""),"Data download, Repair / Cleaning")</f>
        <v>Data download, Repair / Cleaning</v>
      </c>
      <c r="D14" s="7" t="str">
        <f>IFERROR(__xludf.DUMMYFUNCTION("""COMPUTED_VALUE"""),"Sensor / tube fallen over upon arrival. No data after early May (battery dead?). Changed powering system. Logging restarted 07:45 UTC")</f>
        <v>Sensor / tube fallen over upon arrival. No data after early May (battery dead?). Changed powering system. Logging restarted 07:45 UTC</v>
      </c>
    </row>
    <row r="15" ht="15.75" customHeight="1">
      <c r="A15" s="8">
        <f>IFERROR(__xludf.DUMMYFUNCTION("""COMPUTED_VALUE"""),45631.357858703705)</f>
        <v>45631.35786</v>
      </c>
      <c r="B15" s="7" t="str">
        <f>IFERROR(__xludf.DUMMYFUNCTION("""COMPUTED_VALUE"""),"Floreana")</f>
        <v>Floreana</v>
      </c>
      <c r="C15" s="7" t="str">
        <f>IFERROR(__xludf.DUMMYFUNCTION("""COMPUTED_VALUE"""),"Data download, Logger replacement")</f>
        <v>Data download, Logger replacement</v>
      </c>
      <c r="D15" s="7" t="str">
        <f>IFERROR(__xludf.DUMMYFUNCTION("""COMPUTED_VALUE"""),"New wiring system. Logging restarted for 07:45UTC")</f>
        <v>New wiring system. Logging restarted for 07:45UTC</v>
      </c>
    </row>
    <row r="16" ht="15.75" customHeight="1">
      <c r="A16" s="8">
        <f>IFERROR(__xludf.DUMMYFUNCTION("""COMPUTED_VALUE"""),45755.35039721065)</f>
        <v>45755.3504</v>
      </c>
      <c r="B16" s="7" t="str">
        <f>IFERROR(__xludf.DUMMYFUNCTION("""COMPUTED_VALUE"""),"Floreana")</f>
        <v>Floreana</v>
      </c>
      <c r="C16" s="7" t="str">
        <f>IFERROR(__xludf.DUMMYFUNCTION("""COMPUTED_VALUE"""),"Logger replacement")</f>
        <v>Logger replacement</v>
      </c>
      <c r="D16" s="7" t="str">
        <f>IFERROR(__xludf.DUMMYFUNCTION("""COMPUTED_VALUE"""),"Battery at 2V, no response from logger. Replaced system, started logging at 6:30UTC. Taking old logger to office for repair and data download ")</f>
        <v>Battery at 2V, no response from logger. Replaced system, started logging at 6:30UTC. Taking old logger to office for repair and data download </v>
      </c>
    </row>
    <row r="17" ht="15.75" customHeight="1">
      <c r="A17" s="8">
        <f>IFERROR(__xludf.DUMMYFUNCTION("""COMPUTED_VALUE"""),45755.37745063657)</f>
        <v>45755.37745</v>
      </c>
      <c r="B17" s="7" t="str">
        <f>IFERROR(__xludf.DUMMYFUNCTION("""COMPUTED_VALUE"""),"Floreana")</f>
        <v>Floreana</v>
      </c>
      <c r="C17" s="7" t="str">
        <f>IFERROR(__xludf.DUMMYFUNCTION("""COMPUTED_VALUE"""),"Logger replacement")</f>
        <v>Logger replacement</v>
      </c>
      <c r="D17" s="7"/>
    </row>
    <row r="18" ht="15.75" customHeight="1">
      <c r="A18" s="8">
        <f>IFERROR(__xludf.DUMMYFUNCTION("""COMPUTED_VALUE"""),45757.41097707176)</f>
        <v>45757.41098</v>
      </c>
      <c r="B18" s="7" t="str">
        <f>IFERROR(__xludf.DUMMYFUNCTION("""COMPUTED_VALUE"""),"Floreana")</f>
        <v>Floreana</v>
      </c>
      <c r="C18" s="7" t="str">
        <f>IFERROR(__xludf.DUMMYFUNCTION("""COMPUTED_VALUE"""),"Data download")</f>
        <v>Data download</v>
      </c>
      <c r="D18" s="7" t="str">
        <f>IFERROR(__xludf.DUMMYFUNCTION("""COMPUTED_VALUE"""),"manual data download at office, after battery was found empty in the field. data missing since mid December 2024")</f>
        <v>manual data download at office, after battery was found empty in the field. data missing since mid December 2024</v>
      </c>
    </row>
    <row r="19" ht="15.75" customHeight="1">
      <c r="A19" s="8">
        <f>IFERROR(__xludf.DUMMYFUNCTION("""COMPUTED_VALUE"""),45776.35784211806)</f>
        <v>45776.35784</v>
      </c>
      <c r="B19" s="7" t="str">
        <f>IFERROR(__xludf.DUMMYFUNCTION("""COMPUTED_VALUE"""),"Floreana")</f>
        <v>Floreana</v>
      </c>
      <c r="C19" s="7" t="str">
        <f>IFERROR(__xludf.DUMMYFUNCTION("""COMPUTED_VALUE"""),"Logger replacement")</f>
        <v>Logger replacement</v>
      </c>
      <c r="D19" s="7" t="str">
        <f>IFERROR(__xludf.DUMMYFUNCTION("""COMPUTED_VALUE"""),"Replaced logger with simple pluvimate, logging starting at 06:45UTC")</f>
        <v>Replaced logger with simple pluvimate, logging starting at 06:45UTC</v>
      </c>
    </row>
    <row r="20" ht="15.75" customHeight="1">
      <c r="A20" s="8">
        <f>IFERROR(__xludf.DUMMYFUNCTION("""COMPUTED_VALUE"""),45776.395819108795)</f>
        <v>45776.39582</v>
      </c>
      <c r="B20" s="7" t="str">
        <f>IFERROR(__xludf.DUMMYFUNCTION("""COMPUTED_VALUE"""),"Floreana")</f>
        <v>Floreana</v>
      </c>
      <c r="C20" s="7" t="str">
        <f>IFERROR(__xludf.DUMMYFUNCTION("""COMPUTED_VALUE"""),"Data download")</f>
        <v>Data download</v>
      </c>
      <c r="D20" s="7" t="str">
        <f>IFERROR(__xludf.DUMMYFUNCTION("""COMPUTED_VALUE"""),"Old logger returned to office for data download. Failed on 17 April")</f>
        <v>Old logger returned to office for data download. Failed on 17 April</v>
      </c>
    </row>
    <row r="21" ht="15.75" customHeight="1">
      <c r="A21" s="8">
        <f>IFERROR(__xludf.DUMMYFUNCTION("""COMPUTED_VALUE"""),45820.347634756945)</f>
        <v>45820.34763</v>
      </c>
      <c r="B21" s="7" t="str">
        <f>IFERROR(__xludf.DUMMYFUNCTION("""COMPUTED_VALUE"""),"Floreana")</f>
        <v>Floreana</v>
      </c>
      <c r="C21" s="7" t="str">
        <f>IFERROR(__xludf.DUMMYFUNCTION("""COMPUTED_VALUE"""),"Data download")</f>
        <v>Data download</v>
      </c>
      <c r="D21" s="7" t="str">
        <f>IFERROR(__xludf.DUMMYFUNCTION("""COMPUTED_VALUE"""),"Logging restarted for 06:30UTC")</f>
        <v>Logging restarted for 06:30UTC</v>
      </c>
    </row>
    <row r="22" ht="15.75" customHeight="1">
      <c r="A22" s="8">
        <f>IFERROR(__xludf.DUMMYFUNCTION("""COMPUTED_VALUE"""),45874.32389909722)</f>
        <v>45874.3239</v>
      </c>
      <c r="B22" s="7" t="str">
        <f>IFERROR(__xludf.DUMMYFUNCTION("""COMPUTED_VALUE"""),"Floreana")</f>
        <v>Floreana</v>
      </c>
      <c r="C22" s="7" t="str">
        <f>IFERROR(__xludf.DUMMYFUNCTION("""COMPUTED_VALUE"""),"New installation, Data download, Logger replacement")</f>
        <v>New installation, Data download, Logger replacement</v>
      </c>
      <c r="D22" s="7" t="str">
        <f>IFERROR(__xludf.DUMMYFUNCTION("""COMPUTED_VALUE"""),"New LoRa system installed at approx 05:40 UTC")</f>
        <v>New LoRa system installed at approx 05:40 UTC</v>
      </c>
    </row>
    <row r="23" ht="15.75" customHeight="1">
      <c r="A23" s="8">
        <f>IFERROR(__xludf.DUMMYFUNCTION("""COMPUTED_VALUE"""),45911.40915721065)</f>
        <v>45911.40916</v>
      </c>
      <c r="B23" s="7" t="str">
        <f>IFERROR(__xludf.DUMMYFUNCTION("""COMPUTED_VALUE"""),"Floreana")</f>
        <v>Floreana</v>
      </c>
      <c r="C23" s="7" t="str">
        <f>IFERROR(__xludf.DUMMYFUNCTION("""COMPUTED_VALUE"""),"Repair / Cleaning")</f>
        <v>Repair / Cleaning</v>
      </c>
      <c r="D23" s="7" t="str">
        <f>IFERROR(__xludf.DUMMYFUNCTION("""COMPUTED_VALUE"""),"count since last installation has remained at 0 -&gt; refitted cable and reactivated system. Testing count (working now). Reset counter to 0 at 06:45UTC")</f>
        <v>count since last installation has remained at 0 -&gt; refitted cable and reactivated system. Testing count (working now). Reset counter to 0 at 06:45UTC</v>
      </c>
    </row>
    <row r="24" ht="15.75" customHeight="1">
      <c r="A24" s="8">
        <f>IFERROR(__xludf.DUMMYFUNCTION("""COMPUTED_VALUE"""),45951.7703387037)</f>
        <v>45951.77034</v>
      </c>
      <c r="B24" s="7" t="str">
        <f>IFERROR(__xludf.DUMMYFUNCTION("""COMPUTED_VALUE"""),"Floreana")</f>
        <v>Floreana</v>
      </c>
      <c r="C24" s="7" t="str">
        <f>IFERROR(__xludf.DUMMYFUNCTION("""COMPUTED_VALUE"""),"reconnected to LoRa network ")</f>
        <v>reconnected to LoRa network </v>
      </c>
      <c r="D24" s="7" t="str">
        <f>IFERROR(__xludf.DUMMYFUNCTION("""COMPUTED_VALUE"""),"Station has picked up signal from gateway installed at ROUV at around 16:20UTC. ")</f>
        <v>Station has picked up signal from gateway installed at ROUV at around 16:20UTC. 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9.88"/>
    <col customWidth="1" min="3" max="3" width="40.5"/>
    <col customWidth="1" min="4" max="4" width="117.63"/>
  </cols>
  <sheetData>
    <row r="1" ht="15.75" customHeight="1">
      <c r="A1" s="10" t="s">
        <v>269</v>
      </c>
      <c r="B1" s="10"/>
      <c r="C1" s="7" t="s">
        <v>254</v>
      </c>
      <c r="D1" s="10"/>
    </row>
    <row r="2" ht="15.75" customHeight="1">
      <c r="A2" s="7" t="s">
        <v>270</v>
      </c>
      <c r="C2" s="7" t="s">
        <v>271</v>
      </c>
    </row>
    <row r="3" ht="15.75" customHeight="1">
      <c r="A3" s="7" t="s">
        <v>272</v>
      </c>
      <c r="C3" s="7" t="s">
        <v>273</v>
      </c>
    </row>
    <row r="4" ht="15.75" customHeight="1">
      <c r="A4" s="7" t="s">
        <v>274</v>
      </c>
      <c r="C4" s="7" t="s">
        <v>275</v>
      </c>
    </row>
    <row r="5" ht="15.75" customHeight="1"/>
    <row r="6" ht="15.75" customHeight="1">
      <c r="A6" s="10" t="s">
        <v>261</v>
      </c>
      <c r="B6" s="10"/>
      <c r="C6" s="10"/>
      <c r="D6" s="10"/>
    </row>
    <row r="7" ht="15.75" customHeight="1">
      <c r="A7" s="11" t="s">
        <v>252</v>
      </c>
      <c r="B7" s="11" t="s">
        <v>2</v>
      </c>
      <c r="C7" s="11" t="s">
        <v>3</v>
      </c>
      <c r="D7" s="11" t="s">
        <v>4</v>
      </c>
    </row>
    <row r="8" ht="15.75" customHeight="1">
      <c r="A8" s="8">
        <f>IFERROR(__xludf.DUMMYFUNCTION("FILTER(Form_responses!A:A, Form_responses!B:B=""CHAN"")"),44894.63291458333)</f>
        <v>44894.63291</v>
      </c>
      <c r="B8" s="7" t="str">
        <f>IFERROR(__xludf.DUMMYFUNCTION("FILTER(Form_responses!C:E, Form_responses!B:B=""CHAN"")"),"Floreana")</f>
        <v>Floreana</v>
      </c>
      <c r="C8" s="7" t="str">
        <f>IFERROR(__xludf.DUMMYFUNCTION("""COMPUTED_VALUE"""),"New installation, Logger replacement")</f>
        <v>New installation, Logger replacement</v>
      </c>
      <c r="D8" s="7" t="str">
        <f>IFERROR(__xludf.DUMMYFUNCTION("""COMPUTED_VALUE"""),"New Pluvimate logger, programmed to start logging on 30.11.2022 at 00:00UTC")</f>
        <v>New Pluvimate logger, programmed to start logging on 30.11.2022 at 00:00UTC</v>
      </c>
    </row>
    <row r="9" ht="15.75" customHeight="1">
      <c r="A9" s="8">
        <f>IFERROR(__xludf.DUMMYFUNCTION("""COMPUTED_VALUE"""),44964.62618633102)</f>
        <v>44964.62619</v>
      </c>
      <c r="B9" s="7" t="str">
        <f>IFERROR(__xludf.DUMMYFUNCTION("""COMPUTED_VALUE"""),"Floreana")</f>
        <v>Floreana</v>
      </c>
      <c r="C9" s="7" t="str">
        <f>IFERROR(__xludf.DUMMYFUNCTION("""COMPUTED_VALUE"""),"Data download")</f>
        <v>Data download</v>
      </c>
      <c r="D9" s="7" t="str">
        <f>IFERROR(__xludf.DUMMYFUNCTION("""COMPUTED_VALUE"""),"Data download, rescheduled to start logging at 14:15 UTC")</f>
        <v>Data download, rescheduled to start logging at 14:15 UTC</v>
      </c>
    </row>
    <row r="10" ht="15.75" customHeight="1">
      <c r="A10" s="8">
        <f>IFERROR(__xludf.DUMMYFUNCTION("""COMPUTED_VALUE"""),45014.649024976854)</f>
        <v>45014.64902</v>
      </c>
      <c r="B10" s="7" t="str">
        <f>IFERROR(__xludf.DUMMYFUNCTION("""COMPUTED_VALUE"""),"Floreana")</f>
        <v>Floreana</v>
      </c>
      <c r="C10" s="7" t="str">
        <f>IFERROR(__xludf.DUMMYFUNCTION("""COMPUTED_VALUE"""),"Data download")</f>
        <v>Data download</v>
      </c>
      <c r="D10" s="7" t="str">
        <f>IFERROR(__xludf.DUMMYFUNCTION("""COMPUTED_VALUE"""),"Data download; rescheduled to start logging at 13:45UTC")</f>
        <v>Data download; rescheduled to start logging at 13:45UTC</v>
      </c>
    </row>
    <row r="11" ht="15.75" customHeight="1">
      <c r="A11" s="8">
        <f>IFERROR(__xludf.DUMMYFUNCTION("""COMPUTED_VALUE"""),45070.6699734375)</f>
        <v>45070.66997</v>
      </c>
      <c r="B11" s="7" t="str">
        <f>IFERROR(__xludf.DUMMYFUNCTION("""COMPUTED_VALUE"""),"Floreana")</f>
        <v>Floreana</v>
      </c>
      <c r="C11" s="7" t="str">
        <f>IFERROR(__xludf.DUMMYFUNCTION("""COMPUTED_VALUE"""),"Data download")</f>
        <v>Data download</v>
      </c>
      <c r="D11" s="7" t="str">
        <f>IFERROR(__xludf.DUMMYFUNCTION("""COMPUTED_VALUE"""),"Restart logging at 14:15 UTC")</f>
        <v>Restart logging at 14:15 UTC</v>
      </c>
    </row>
    <row r="12" ht="15.75" customHeight="1">
      <c r="A12" s="8">
        <f>IFERROR(__xludf.DUMMYFUNCTION("""COMPUTED_VALUE"""),45126.63393125)</f>
        <v>45126.63393</v>
      </c>
      <c r="B12" s="7" t="str">
        <f>IFERROR(__xludf.DUMMYFUNCTION("""COMPUTED_VALUE"""),"Floreana")</f>
        <v>Floreana</v>
      </c>
      <c r="C12" s="7" t="str">
        <f>IFERROR(__xludf.DUMMYFUNCTION("""COMPUTED_VALUE"""),"Data download, Logger replacement")</f>
        <v>Data download, Logger replacement</v>
      </c>
      <c r="D12" s="7" t="str">
        <f>IFERROR(__xludf.DUMMYFUNCTION("""COMPUTED_VALUE"""),"New logger CHAN2, scheduled to start logging at 13:30UTC")</f>
        <v>New logger CHAN2, scheduled to start logging at 13:30UTC</v>
      </c>
    </row>
    <row r="13" ht="15.75" customHeight="1">
      <c r="A13" s="8">
        <f>IFERROR(__xludf.DUMMYFUNCTION("""COMPUTED_VALUE"""),45173.397959236114)</f>
        <v>45173.39796</v>
      </c>
      <c r="B13" s="7" t="str">
        <f>IFERROR(__xludf.DUMMYFUNCTION("""COMPUTED_VALUE"""),"Dan")</f>
        <v>Dan</v>
      </c>
      <c r="C13" s="7" t="str">
        <f>IFERROR(__xludf.DUMMYFUNCTION("""COMPUTED_VALUE"""),"Data download")</f>
        <v>Data download</v>
      </c>
      <c r="D13" s="7" t="str">
        <f>IFERROR(__xludf.DUMMYFUNCTION("""COMPUTED_VALUE"""),"No data for the last rain, maybe the instalation is not straight enough, restarted at 7:45")</f>
        <v>No data for the last rain, maybe the instalation is not straight enough, restarted at 7:45</v>
      </c>
    </row>
    <row r="14" ht="15.75" customHeight="1">
      <c r="A14" s="8">
        <f>IFERROR(__xludf.DUMMYFUNCTION("""COMPUTED_VALUE"""),45237.50429890046)</f>
        <v>45237.5043</v>
      </c>
      <c r="B14" s="7" t="str">
        <f>IFERROR(__xludf.DUMMYFUNCTION("""COMPUTED_VALUE"""),"Dan")</f>
        <v>Dan</v>
      </c>
      <c r="C14" s="7" t="str">
        <f>IFERROR(__xludf.DUMMYFUNCTION("""COMPUTED_VALUE"""),"Data download, Logger replacement")</f>
        <v>Data download, Logger replacement</v>
      </c>
      <c r="D14" s="7" t="str">
        <f>IFERROR(__xludf.DUMMYFUNCTION("""COMPUTED_VALUE"""),"Changed logger because only values of 0 or 1 count, certainly a problem with the logger. Started logging with new logger at 11:15 UTC")</f>
        <v>Changed logger because only values of 0 or 1 count, certainly a problem with the logger. Started logging with new logger at 11:15 UTC</v>
      </c>
    </row>
    <row r="15" ht="15.75" customHeight="1">
      <c r="A15" s="8">
        <f>IFERROR(__xludf.DUMMYFUNCTION("""COMPUTED_VALUE"""),45278.450648032405)</f>
        <v>45278.45065</v>
      </c>
      <c r="B15" s="7" t="str">
        <f>IFERROR(__xludf.DUMMYFUNCTION("""COMPUTED_VALUE"""),"Dan")</f>
        <v>Dan</v>
      </c>
      <c r="C15" s="7" t="str">
        <f>IFERROR(__xludf.DUMMYFUNCTION("""COMPUTED_VALUE"""),"New installation, Data download")</f>
        <v>New installation, Data download</v>
      </c>
      <c r="D15" s="7" t="str">
        <f>IFERROR(__xludf.DUMMYFUNCTION("""COMPUTED_VALUE"""),"Changed to the new omega sensor, started it at 10:00 UTC. Downloaded data from pluvimate ")</f>
        <v>Changed to the new omega sensor, started it at 10:00 UTC. Downloaded data from pluvimate </v>
      </c>
    </row>
    <row r="16" ht="15.75" customHeight="1">
      <c r="A16" s="8">
        <f>IFERROR(__xludf.DUMMYFUNCTION("""COMPUTED_VALUE"""),45610.490190069446)</f>
        <v>45610.49019</v>
      </c>
      <c r="B16" s="7" t="str">
        <f>IFERROR(__xludf.DUMMYFUNCTION("""COMPUTED_VALUE"""),"Floreana")</f>
        <v>Floreana</v>
      </c>
      <c r="C16" s="7" t="str">
        <f>IFERROR(__xludf.DUMMYFUNCTION("""COMPUTED_VALUE"""),"Data download")</f>
        <v>Data download</v>
      </c>
      <c r="D16" s="7" t="str">
        <f>IFERROR(__xludf.DUMMYFUNCTION("""COMPUTED_VALUE"""),"Solar Panel in bad state. Restarted logging to 11:00 UTC")</f>
        <v>Solar Panel in bad state. Restarted logging to 11:00 UTC</v>
      </c>
    </row>
    <row r="17" ht="15.75" customHeight="1">
      <c r="A17" s="8">
        <f>IFERROR(__xludf.DUMMYFUNCTION("""COMPUTED_VALUE"""),45610.552990428245)</f>
        <v>45610.55299</v>
      </c>
      <c r="B17" s="7" t="str">
        <f>IFERROR(__xludf.DUMMYFUNCTION("""COMPUTED_VALUE"""),"Floreana")</f>
        <v>Floreana</v>
      </c>
      <c r="C17" s="7" t="str">
        <f>IFERROR(__xludf.DUMMYFUNCTION("""COMPUTED_VALUE"""),"Data download")</f>
        <v>Data download</v>
      </c>
      <c r="D17" s="7"/>
    </row>
    <row r="18" ht="15.75" customHeight="1">
      <c r="A18" s="8">
        <f>IFERROR(__xludf.DUMMYFUNCTION("""COMPUTED_VALUE"""),45623.71409081019)</f>
        <v>45623.71409</v>
      </c>
      <c r="B18" s="7" t="str">
        <f>IFERROR(__xludf.DUMMYFUNCTION("""COMPUTED_VALUE"""),"Floreana")</f>
        <v>Floreana</v>
      </c>
      <c r="C18" s="7" t="str">
        <f>IFERROR(__xludf.DUMMYFUNCTION("""COMPUTED_VALUE"""),"Logger replacement")</f>
        <v>Logger replacement</v>
      </c>
      <c r="D18" s="7" t="str">
        <f>IFERROR(__xludf.DUMMYFUNCTION("""COMPUTED_VALUE"""),"No data since last installation. Returned logger to office for improvement. Replaced by simple pluvimate in the meantime, logging restarted for 15:45 UTC")</f>
        <v>No data since last installation. Returned logger to office for improvement. Replaced by simple pluvimate in the meantime, logging restarted for 15:45 UTC</v>
      </c>
    </row>
    <row r="19" ht="15.75" customHeight="1">
      <c r="A19" s="8">
        <f>IFERROR(__xludf.DUMMYFUNCTION("""COMPUTED_VALUE"""),45629.47412131944)</f>
        <v>45629.47412</v>
      </c>
      <c r="B19" s="7" t="str">
        <f>IFERROR(__xludf.DUMMYFUNCTION("""COMPUTED_VALUE"""),"Floreana")</f>
        <v>Floreana</v>
      </c>
      <c r="C19" s="7" t="str">
        <f>IFERROR(__xludf.DUMMYFUNCTION("""COMPUTED_VALUE"""),"Data download, Logger replacement")</f>
        <v>Data download, Logger replacement</v>
      </c>
      <c r="D19" s="7" t="str">
        <f>IFERROR(__xludf.DUMMYFUNCTION("""COMPUTED_VALUE"""),"Replaced simple logger with functioning solar powered system. Logging restarted for 11:00UTC")</f>
        <v>Replaced simple logger with functioning solar powered system. Logging restarted for 11:00UTC</v>
      </c>
    </row>
    <row r="20" ht="15.75" customHeight="1">
      <c r="A20" s="8">
        <f>IFERROR(__xludf.DUMMYFUNCTION("""COMPUTED_VALUE"""),45755.648271666665)</f>
        <v>45755.64827</v>
      </c>
      <c r="B20" s="7" t="str">
        <f>IFERROR(__xludf.DUMMYFUNCTION("""COMPUTED_VALUE"""),"Floreana")</f>
        <v>Floreana</v>
      </c>
      <c r="C20" s="7" t="str">
        <f>IFERROR(__xludf.DUMMYFUNCTION("""COMPUTED_VALUE"""),"Logger replacement")</f>
        <v>Logger replacement</v>
      </c>
      <c r="D20" s="7" t="str">
        <f>IFERROR(__xludf.DUMMYFUNCTION("""COMPUTED_VALUE"""),"Replaced system with simple pluvimate starting at 14:00UTC. Returning system to office for repair and data download ")</f>
        <v>Replaced system with simple pluvimate starting at 14:00UTC. Returning system to office for repair and data download </v>
      </c>
    </row>
    <row r="21" ht="15.75" customHeight="1">
      <c r="A21" s="8">
        <f>IFERROR(__xludf.DUMMYFUNCTION("""COMPUTED_VALUE"""),45757.4909066088)</f>
        <v>45757.49091</v>
      </c>
      <c r="B21" s="7" t="str">
        <f>IFERROR(__xludf.DUMMYFUNCTION("""COMPUTED_VALUE"""),"Floreana")</f>
        <v>Floreana</v>
      </c>
      <c r="C21" s="7" t="str">
        <f>IFERROR(__xludf.DUMMYFUNCTION("""COMPUTED_VALUE"""),"Data download")</f>
        <v>Data download</v>
      </c>
      <c r="D21" s="7" t="str">
        <f>IFERROR(__xludf.DUMMYFUNCTION("""COMPUTED_VALUE"""),"Manual data download at office after battery found empty in field. No data after mid December 2024")</f>
        <v>Manual data download at office after battery found empty in field. No data after mid December 2024</v>
      </c>
    </row>
    <row r="22" ht="15.75" customHeight="1">
      <c r="A22" s="8">
        <f>IFERROR(__xludf.DUMMYFUNCTION("""COMPUTED_VALUE"""),45831.722251875)</f>
        <v>45831.72225</v>
      </c>
      <c r="B22" s="7" t="str">
        <f>IFERROR(__xludf.DUMMYFUNCTION("""COMPUTED_VALUE"""),"Floreana")</f>
        <v>Floreana</v>
      </c>
      <c r="C22" s="7" t="str">
        <f>IFERROR(__xludf.DUMMYFUNCTION("""COMPUTED_VALUE"""),"Data download, Repair / Cleaning")</f>
        <v>Data download, Repair / Cleaning</v>
      </c>
      <c r="D22" s="7" t="str">
        <f>IFERROR(__xludf.DUMMYFUNCTION("""COMPUTED_VALUE"""),"Data missing because logger not accessible (concierge absent). NB! Wasp nest and many snails inside tube and on sensor. Will replace tube. Sensor paused.")</f>
        <v>Data missing because logger not accessible (concierge absent). NB! Wasp nest and many snails inside tube and on sensor. Will replace tube. Sensor paused.</v>
      </c>
    </row>
    <row r="23" ht="15.75" customHeight="1">
      <c r="A23" s="8">
        <f>IFERROR(__xludf.DUMMYFUNCTION("""COMPUTED_VALUE"""),45832.716160509255)</f>
        <v>45832.71616</v>
      </c>
      <c r="B23" s="7" t="str">
        <f>IFERROR(__xludf.DUMMYFUNCTION("""COMPUTED_VALUE"""),"Floreana")</f>
        <v>Floreana</v>
      </c>
      <c r="C23" s="7" t="str">
        <f>IFERROR(__xludf.DUMMYFUNCTION("""COMPUTED_VALUE"""),"New installation, Data download")</f>
        <v>New installation, Data download</v>
      </c>
      <c r="D23" s="7" t="str">
        <f>IFERROR(__xludf.DUMMYFUNCTION("""COMPUTED_VALUE"""),"Replaced tube, placed on a higher elevated pole, logger restarting at 08:15UTC")</f>
        <v>Replaced tube, placed on a higher elevated pole, logger restarting at 08:15UTC</v>
      </c>
    </row>
    <row r="24" ht="15.75" customHeight="1">
      <c r="A24" s="8">
        <f>IFERROR(__xludf.DUMMYFUNCTION("""COMPUTED_VALUE"""),45874.56956503472)</f>
        <v>45874.56957</v>
      </c>
      <c r="B24" s="7" t="str">
        <f>IFERROR(__xludf.DUMMYFUNCTION("""COMPUTED_VALUE"""),"Floreana")</f>
        <v>Floreana</v>
      </c>
      <c r="C24" s="7" t="str">
        <f>IFERROR(__xludf.DUMMYFUNCTION("""COMPUTED_VALUE"""),"New installation, Data download, Logger replacement")</f>
        <v>New installation, Data download, Logger replacement</v>
      </c>
      <c r="D24" s="7" t="str">
        <f>IFERROR(__xludf.DUMMYFUNCTION("""COMPUTED_VALUE"""),"LoRa system installed, started at approx 11:35 UTC")</f>
        <v>LoRa system installed, started at approx 11:35 UTC</v>
      </c>
    </row>
    <row r="25" ht="15.75" customHeight="1">
      <c r="A25" s="8">
        <f>IFERROR(__xludf.DUMMYFUNCTION("""COMPUTED_VALUE"""),45876.469895092596)</f>
        <v>45876.4699</v>
      </c>
      <c r="B25" s="7" t="str">
        <f>IFERROR(__xludf.DUMMYFUNCTION("""COMPUTED_VALUE"""),"Floreana")</f>
        <v>Floreana</v>
      </c>
      <c r="C25" s="7" t="str">
        <f>IFERROR(__xludf.DUMMYFUNCTION("""COMPUTED_VALUE"""),"rebooting ")</f>
        <v>rebooting </v>
      </c>
      <c r="D25" s="7" t="str">
        <f>IFERROR(__xludf.DUMMYFUNCTION("""COMPUTED_VALUE"""),"Logger wasn't connected to LoRa, revisited today and rebooted. Now working")</f>
        <v>Logger wasn't connected to LoRa, revisited today and rebooted. Now working</v>
      </c>
    </row>
    <row r="26" ht="15.75" customHeight="1">
      <c r="A26" s="8">
        <f>IFERROR(__xludf.DUMMYFUNCTION("""COMPUTED_VALUE"""),45930.41002034722)</f>
        <v>45930.41002</v>
      </c>
      <c r="B26" s="7" t="str">
        <f>IFERROR(__xludf.DUMMYFUNCTION("""COMPUTED_VALUE"""),"Floreana")</f>
        <v>Floreana</v>
      </c>
      <c r="C26" s="7" t="str">
        <f>IFERROR(__xludf.DUMMYFUNCTION("""COMPUTED_VALUE"""),"Repair / Cleaning")</f>
        <v>Repair / Cleaning</v>
      </c>
      <c r="D26" s="7" t="str">
        <f>IFERROR(__xludf.DUMMYFUNCTION("""COMPUTED_VALUE"""),"Refitted cable connection at around 07:30-07:45UTC")</f>
        <v>Refitted cable connection at around 07:30-07:45UTC</v>
      </c>
    </row>
    <row r="27" ht="15.75" customHeight="1">
      <c r="A27" s="13">
        <f>IFERROR(__xludf.DUMMYFUNCTION("""COMPUTED_VALUE"""),46113.383025625)</f>
        <v>46113.38303</v>
      </c>
      <c r="B27" s="14" t="str">
        <f>IFERROR(__xludf.DUMMYFUNCTION("""COMPUTED_VALUE"""),"Floreana")</f>
        <v>Floreana</v>
      </c>
      <c r="C27" s="14" t="str">
        <f>IFERROR(__xludf.DUMMYFUNCTION("""COMPUTED_VALUE"""),"New installation, Repair/Cleaning")</f>
        <v>New installation, Repair/Cleaning</v>
      </c>
      <c r="D27" s="14" t="str">
        <f>IFERROR(__xludf.DUMMYFUNCTION("""COMPUTED_VALUE"""),"LoRa system checked because the data has been weak (not much rain?), installed old system as backup, started logging at 09:15UTC")</f>
        <v>LoRa system checked because the data has been weak (not much rain?), installed old system as backup, started logging at 09:15UTC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9.0"/>
    <col customWidth="1" min="3" max="3" width="40.5"/>
    <col customWidth="1" min="4" max="4" width="88.25"/>
  </cols>
  <sheetData>
    <row r="1" ht="15.75" customHeight="1">
      <c r="A1" s="10" t="s">
        <v>276</v>
      </c>
      <c r="C1" s="7" t="s">
        <v>254</v>
      </c>
    </row>
    <row r="2" ht="15.75" customHeight="1">
      <c r="A2" s="7" t="s">
        <v>277</v>
      </c>
      <c r="C2" s="7" t="s">
        <v>278</v>
      </c>
    </row>
    <row r="3" ht="15.75" customHeight="1">
      <c r="A3" s="7" t="s">
        <v>279</v>
      </c>
      <c r="C3" s="7" t="s">
        <v>280</v>
      </c>
    </row>
    <row r="4" ht="15.75" customHeight="1">
      <c r="A4" s="7" t="s">
        <v>281</v>
      </c>
      <c r="C4" s="7" t="s">
        <v>282</v>
      </c>
    </row>
    <row r="5" ht="15.75" customHeight="1"/>
    <row r="6" ht="15.75" customHeight="1">
      <c r="A6" s="10" t="s">
        <v>261</v>
      </c>
      <c r="B6" s="10"/>
      <c r="C6" s="10"/>
      <c r="D6" s="10"/>
    </row>
    <row r="7" ht="15.75" customHeight="1">
      <c r="A7" s="11" t="s">
        <v>252</v>
      </c>
      <c r="B7" s="11" t="s">
        <v>2</v>
      </c>
      <c r="C7" s="11" t="s">
        <v>3</v>
      </c>
      <c r="D7" s="11" t="s">
        <v>4</v>
      </c>
    </row>
    <row r="8" ht="15.75" customHeight="1">
      <c r="A8" s="8">
        <f>IFERROR(__xludf.DUMMYFUNCTION("FILTER(Form_responses!A:A, Form_responses!B:B=""ELYS"")"),44894.61678251157)</f>
        <v>44894.61678</v>
      </c>
      <c r="B8" s="7" t="str">
        <f>IFERROR(__xludf.DUMMYFUNCTION("FILTER(Form_responses_old!C:E, Form_responses_old!B:B=""ELYS"")"),"Floreana")</f>
        <v>Floreana</v>
      </c>
      <c r="C8" s="7" t="str">
        <f>IFERROR(__xludf.DUMMYFUNCTION("""COMPUTED_VALUE"""),"New installation, Logger replacement")</f>
        <v>New installation, Logger replacement</v>
      </c>
      <c r="D8" s="7" t="str">
        <f>IFERROR(__xludf.DUMMYFUNCTION("""COMPUTED_VALUE"""),"Placed new Pluvimate logger, scheduled to start recording at 00:00 UTC on 30.11.2022")</f>
        <v>Placed new Pluvimate logger, scheduled to start recording at 00:00 UTC on 30.11.2022</v>
      </c>
    </row>
    <row r="9" ht="15.75" customHeight="1">
      <c r="A9" s="8">
        <f>IFERROR(__xludf.DUMMYFUNCTION("""COMPUTED_VALUE"""),44964.61070907407)</f>
        <v>44964.61071</v>
      </c>
      <c r="B9" s="7" t="str">
        <f>IFERROR(__xludf.DUMMYFUNCTION("""COMPUTED_VALUE"""),"Floreana")</f>
        <v>Floreana</v>
      </c>
      <c r="C9" s="7" t="str">
        <f>IFERROR(__xludf.DUMMYFUNCTION("""COMPUTED_VALUE"""),"Data download")</f>
        <v>Data download</v>
      </c>
      <c r="D9" s="7" t="str">
        <f>IFERROR(__xludf.DUMMYFUNCTION("""COMPUTED_VALUE"""),"Data download. Rescheduled logging to start at 13:45 UTC")</f>
        <v>Data download. Rescheduled logging to start at 13:45 UTC</v>
      </c>
    </row>
    <row r="10" ht="15.75" customHeight="1">
      <c r="A10" s="8">
        <f>IFERROR(__xludf.DUMMYFUNCTION("""COMPUTED_VALUE"""),45014.632805243054)</f>
        <v>45014.63281</v>
      </c>
      <c r="B10" s="7" t="str">
        <f>IFERROR(__xludf.DUMMYFUNCTION("""COMPUTED_VALUE"""),"Floreana")</f>
        <v>Floreana</v>
      </c>
      <c r="C10" s="7" t="str">
        <f>IFERROR(__xludf.DUMMYFUNCTION("""COMPUTED_VALUE"""),"Data download")</f>
        <v>Data download</v>
      </c>
      <c r="D10" s="7" t="str">
        <f>IFERROR(__xludf.DUMMYFUNCTION("""COMPUTED_VALUE"""),"Data download, rescheduled to start logging at 13:15UTC")</f>
        <v>Data download, rescheduled to start logging at 13:15UTC</v>
      </c>
    </row>
    <row r="11" ht="15.75" customHeight="1">
      <c r="A11" s="8">
        <f>IFERROR(__xludf.DUMMYFUNCTION("""COMPUTED_VALUE"""),45070.83462799768)</f>
        <v>45070.83463</v>
      </c>
      <c r="B11" s="7" t="str">
        <f>IFERROR(__xludf.DUMMYFUNCTION("""COMPUTED_VALUE"""),"Floreana")</f>
        <v>Floreana</v>
      </c>
      <c r="C11" s="7" t="str">
        <f>IFERROR(__xludf.DUMMYFUNCTION("""COMPUTED_VALUE"""),"Data download")</f>
        <v>Data download</v>
      </c>
      <c r="D11" s="7" t="str">
        <f>IFERROR(__xludf.DUMMYFUNCTION("""COMPUTED_VALUE"""),"Restarted logging at 14:30 UTC")</f>
        <v>Restarted logging at 14:30 UTC</v>
      </c>
    </row>
    <row r="12" ht="15.75" customHeight="1">
      <c r="A12" s="8">
        <f>IFERROR(__xludf.DUMMYFUNCTION("""COMPUTED_VALUE"""),45126.6591203125)</f>
        <v>45126.65912</v>
      </c>
      <c r="B12" s="7" t="str">
        <f>IFERROR(__xludf.DUMMYFUNCTION("""COMPUTED_VALUE"""),"Floreana")</f>
        <v>Floreana</v>
      </c>
      <c r="C12" s="7" t="str">
        <f>IFERROR(__xludf.DUMMYFUNCTION("""COMPUTED_VALUE"""),"Data download")</f>
        <v>Data download</v>
      </c>
      <c r="D12" s="7" t="str">
        <f>IFERROR(__xludf.DUMMYFUNCTION("""COMPUTED_VALUE"""),"New logging at 14:00UTC")</f>
        <v>New logging at 14:00UTC</v>
      </c>
    </row>
    <row r="13" ht="15.75" customHeight="1">
      <c r="A13" s="8">
        <f>IFERROR(__xludf.DUMMYFUNCTION("""COMPUTED_VALUE"""),45173.42568207176)</f>
        <v>45173.42568</v>
      </c>
      <c r="B13" s="7" t="str">
        <f>IFERROR(__xludf.DUMMYFUNCTION("""COMPUTED_VALUE"""),"Dan")</f>
        <v>Dan</v>
      </c>
      <c r="C13" s="7" t="str">
        <f>IFERROR(__xludf.DUMMYFUNCTION("""COMPUTED_VALUE"""),"Data download")</f>
        <v>Data download</v>
      </c>
      <c r="D13" s="7" t="str">
        <f>IFERROR(__xludf.DUMMYFUNCTION("""COMPUTED_VALUE"""),"Restarted for 10:30 UTC")</f>
        <v>Restarted for 10:30 UTC</v>
      </c>
    </row>
    <row r="14" ht="15.75" customHeight="1">
      <c r="A14" s="8">
        <f>IFERROR(__xludf.DUMMYFUNCTION("""COMPUTED_VALUE"""),45217.46172424768)</f>
        <v>45217.46172</v>
      </c>
      <c r="B14" s="7" t="str">
        <f>IFERROR(__xludf.DUMMYFUNCTION("""COMPUTED_VALUE"""),"Dan")</f>
        <v>Dan</v>
      </c>
      <c r="C14" s="7" t="str">
        <f>IFERROR(__xludf.DUMMYFUNCTION("""COMPUTED_VALUE"""),"Data download")</f>
        <v>Data download</v>
      </c>
      <c r="D14" s="7" t="str">
        <f>IFERROR(__xludf.DUMMYFUNCTION("""COMPUTED_VALUE"""),"Downloaded the data, restarted logger at 9:15 UTC")</f>
        <v>Downloaded the data, restarted logger at 9:15 UTC</v>
      </c>
    </row>
    <row r="15" ht="15.75" customHeight="1">
      <c r="A15" s="8">
        <f>IFERROR(__xludf.DUMMYFUNCTION("""COMPUTED_VALUE"""),45278.42083809028)</f>
        <v>45278.42084</v>
      </c>
      <c r="B15" s="7" t="str">
        <f>IFERROR(__xludf.DUMMYFUNCTION("""COMPUTED_VALUE"""),"Dan")</f>
        <v>Dan</v>
      </c>
      <c r="C15" s="7" t="str">
        <f>IFERROR(__xludf.DUMMYFUNCTION("""COMPUTED_VALUE"""),"New installation, Data download")</f>
        <v>New installation, Data download</v>
      </c>
      <c r="D15" s="7" t="str">
        <f>IFERROR(__xludf.DUMMYFUNCTION("""COMPUTED_VALUE"""),"Changed installation, now with Omega installation, started recording at 9:30 UTC, downloaded data from pluvimate")</f>
        <v>Changed installation, now with Omega installation, started recording at 9:30 UTC, downloaded data from pluvimate</v>
      </c>
    </row>
    <row r="16" ht="15.75" customHeight="1">
      <c r="A16" s="8">
        <f>IFERROR(__xludf.DUMMYFUNCTION("""COMPUTED_VALUE"""),45616.485028344905)</f>
        <v>45616.48503</v>
      </c>
      <c r="B16" s="7" t="str">
        <f>IFERROR(__xludf.DUMMYFUNCTION("""COMPUTED_VALUE"""),"Floreana")</f>
        <v>Floreana</v>
      </c>
      <c r="C16" s="7" t="str">
        <f>IFERROR(__xludf.DUMMYFUNCTION("""COMPUTED_VALUE"""),"Data download, Repair / Cleaning")</f>
        <v>Data download, Repair / Cleaning</v>
      </c>
      <c r="D16" s="7" t="str">
        <f>IFERROR(__xludf.DUMMYFUNCTION("""COMPUTED_VALUE"""),"New powering system. + Cable of main Batterie was detached, fixed with tape. Logging restarted for 10:45UTC")</f>
        <v>New powering system. + Cable of main Batterie was detached, fixed with tape. Logging restarted for 10:45UTC</v>
      </c>
    </row>
    <row r="17" ht="15.75" customHeight="1">
      <c r="A17" s="8">
        <f>IFERROR(__xludf.DUMMYFUNCTION("""COMPUTED_VALUE"""),45629.462841053246)</f>
        <v>45629.46284</v>
      </c>
      <c r="B17" s="7" t="str">
        <f>IFERROR(__xludf.DUMMYFUNCTION("""COMPUTED_VALUE"""),"Floreana")</f>
        <v>Floreana</v>
      </c>
      <c r="C17" s="7" t="str">
        <f>IFERROR(__xludf.DUMMYFUNCTION("""COMPUTED_VALUE"""),"Battery replacement, Repair / Cleaning")</f>
        <v>Battery replacement, Repair / Cleaning</v>
      </c>
      <c r="D17" s="7" t="str">
        <f>IFERROR(__xludf.DUMMYFUNCTION("""COMPUTED_VALUE"""),"System replacement, battery replacement.logging restarted for 10:15UTC")</f>
        <v>System replacement, battery replacement.logging restarted for 10:15UTC</v>
      </c>
    </row>
    <row r="18" ht="15.75" customHeight="1">
      <c r="A18" s="8">
        <f>IFERROR(__xludf.DUMMYFUNCTION("""COMPUTED_VALUE"""),45755.62737229167)</f>
        <v>45755.62737</v>
      </c>
      <c r="B18" s="7" t="str">
        <f>IFERROR(__xludf.DUMMYFUNCTION("""COMPUTED_VALUE"""),"Floreana")</f>
        <v>Floreana</v>
      </c>
      <c r="C18" s="7" t="str">
        <f>IFERROR(__xludf.DUMMYFUNCTION("""COMPUTED_VALUE"""),"Logger replacement")</f>
        <v>Logger replacement</v>
      </c>
      <c r="D18" s="7" t="str">
        <f>IFERROR(__xludf.DUMMYFUNCTION("""COMPUTED_VALUE"""),"Replaced system with simple pluvimate starting at 13:15UTC. Returning system to office for repair and data download.")</f>
        <v>Replaced system with simple pluvimate starting at 13:15UTC. Returning system to office for repair and data download.</v>
      </c>
    </row>
    <row r="19" ht="15.75" customHeight="1">
      <c r="A19" s="8">
        <f>IFERROR(__xludf.DUMMYFUNCTION("""COMPUTED_VALUE"""),45757.46830982639)</f>
        <v>45757.46831</v>
      </c>
      <c r="B19" s="7" t="str">
        <f>IFERROR(__xludf.DUMMYFUNCTION("""COMPUTED_VALUE"""),"Floreana")</f>
        <v>Floreana</v>
      </c>
      <c r="C19" s="7" t="str">
        <f>IFERROR(__xludf.DUMMYFUNCTION("""COMPUTED_VALUE"""),"troubleshooting")</f>
        <v>troubleshooting</v>
      </c>
      <c r="D19" s="7" t="str">
        <f>IFERROR(__xludf.DUMMYFUNCTION("""COMPUTED_VALUE"""),"No data download possible. Logger not responding?")</f>
        <v>No data download possible. Logger not responding?</v>
      </c>
    </row>
    <row r="20" ht="15.75" customHeight="1">
      <c r="A20" s="8">
        <f>IFERROR(__xludf.DUMMYFUNCTION("""COMPUTED_VALUE"""),45820.572858761574)</f>
        <v>45820.57286</v>
      </c>
      <c r="B20" s="7" t="str">
        <f>IFERROR(__xludf.DUMMYFUNCTION("""COMPUTED_VALUE"""),"Floreana")</f>
        <v>Floreana</v>
      </c>
      <c r="C20" s="7" t="str">
        <f>IFERROR(__xludf.DUMMYFUNCTION("""COMPUTED_VALUE"""),"Data download")</f>
        <v>Data download</v>
      </c>
      <c r="D20" s="7" t="str">
        <f>IFERROR(__xludf.DUMMYFUNCTION("""COMPUTED_VALUE"""),"Logging restarted for 11:45UTC")</f>
        <v>Logging restarted for 11:45UTC</v>
      </c>
    </row>
    <row r="21" ht="15.75" customHeight="1">
      <c r="A21" s="8">
        <f>IFERROR(__xludf.DUMMYFUNCTION("""COMPUTED_VALUE"""),45874.585222002315)</f>
        <v>45874.58522</v>
      </c>
      <c r="B21" s="7" t="str">
        <f>IFERROR(__xludf.DUMMYFUNCTION("""COMPUTED_VALUE"""),"Floreana")</f>
        <v>Floreana</v>
      </c>
      <c r="C21" s="7" t="str">
        <f>IFERROR(__xludf.DUMMYFUNCTION("""COMPUTED_VALUE"""),"New installation, Data download, Logger replacement")</f>
        <v>New installation, Data download, Logger replacement</v>
      </c>
      <c r="D21" s="7" t="str">
        <f>IFERROR(__xludf.DUMMYFUNCTION("""COMPUTED_VALUE"""),"LoRa system installed, starting at approx 12:00UTC")</f>
        <v>LoRa system installed, starting at approx 12:00UTC</v>
      </c>
    </row>
    <row r="22" ht="15.75" customHeight="1">
      <c r="A22" s="8">
        <f>IFERROR(__xludf.DUMMYFUNCTION("""COMPUTED_VALUE"""),45911.60838002315)</f>
        <v>45911.60838</v>
      </c>
      <c r="B22" s="7" t="str">
        <f>IFERROR(__xludf.DUMMYFUNCTION("""COMPUTED_VALUE"""),"Floreana")</f>
        <v>Floreana</v>
      </c>
      <c r="C22" s="7" t="str">
        <f>IFERROR(__xludf.DUMMYFUNCTION("""COMPUTED_VALUE"""),"Repair / Cleaning")</f>
        <v>Repair / Cleaning</v>
      </c>
      <c r="D22" s="7" t="str">
        <f>IFERROR(__xludf.DUMMYFUNCTION("""COMPUTED_VALUE"""),"Count had been at 0. Refitted cable, performed test, then reset count to 0 at 12:45 UTC")</f>
        <v>Count had been at 0. Refitted cable, performed test, then reset count to 0 at 12:45 UTC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0.0"/>
    <col customWidth="1" min="3" max="3" width="31.0"/>
    <col customWidth="1" min="4" max="4" width="109.38"/>
  </cols>
  <sheetData>
    <row r="1" ht="15.75" customHeight="1">
      <c r="A1" s="10" t="s">
        <v>283</v>
      </c>
      <c r="C1" s="7" t="s">
        <v>254</v>
      </c>
    </row>
    <row r="2" ht="15.75" customHeight="1">
      <c r="A2" s="7" t="s">
        <v>284</v>
      </c>
      <c r="C2" s="7" t="s">
        <v>285</v>
      </c>
    </row>
    <row r="3" ht="15.75" customHeight="1">
      <c r="A3" s="7" t="s">
        <v>286</v>
      </c>
    </row>
    <row r="4" ht="15.75" customHeight="1">
      <c r="A4" s="7" t="s">
        <v>287</v>
      </c>
    </row>
    <row r="5" ht="15.75" customHeight="1"/>
    <row r="6" ht="15.75" customHeight="1">
      <c r="A6" s="10" t="s">
        <v>261</v>
      </c>
      <c r="B6" s="10"/>
      <c r="C6" s="10"/>
      <c r="D6" s="10"/>
    </row>
    <row r="7" ht="15.75" customHeight="1">
      <c r="A7" s="11" t="s">
        <v>252</v>
      </c>
      <c r="B7" s="11" t="s">
        <v>2</v>
      </c>
      <c r="C7" s="11" t="s">
        <v>3</v>
      </c>
      <c r="D7" s="11" t="s">
        <v>4</v>
      </c>
    </row>
    <row r="8" ht="15.75" customHeight="1">
      <c r="A8" s="8">
        <f>IFERROR(__xludf.DUMMYFUNCTION("FILTER(Form_responses!A:A, Form_responses!B:B=""GEOP"")"),44875.65998052083)</f>
        <v>44875.65998</v>
      </c>
      <c r="B8" s="7" t="str">
        <f>IFERROR(__xludf.DUMMYFUNCTION("FILTER(Form_responses!C:E, Form_responses!B:B=""GEOP"")"),"Floreana")</f>
        <v>Floreana</v>
      </c>
      <c r="C8" s="7" t="str">
        <f>IFERROR(__xludf.DUMMYFUNCTION("""COMPUTED_VALUE"""),"Logger programming")</f>
        <v>Logger programming</v>
      </c>
      <c r="D8" s="7" t="str">
        <f>IFERROR(__xludf.DUMMYFUNCTION("""COMPUTED_VALUE"""),"Programmed logger to 2min interval, starting 11.11.2022 at 00:00 UTC")</f>
        <v>Programmed logger to 2min interval, starting 11.11.2022 at 00:00 UTC</v>
      </c>
    </row>
    <row r="9" ht="15.75" customHeight="1">
      <c r="A9" s="8">
        <f>IFERROR(__xludf.DUMMYFUNCTION("""COMPUTED_VALUE"""),44875.682340150466)</f>
        <v>44875.68234</v>
      </c>
      <c r="B9" s="7" t="str">
        <f>IFERROR(__xludf.DUMMYFUNCTION("""COMPUTED_VALUE"""),"Aurélien")</f>
        <v>Aurélien</v>
      </c>
      <c r="C9" s="7" t="str">
        <f>IFERROR(__xludf.DUMMYFUNCTION("""COMPUTED_VALUE"""),"New installation, Logger replacement")</f>
        <v>New installation, Logger replacement</v>
      </c>
      <c r="D9" s="7" t="str">
        <f>IFERROR(__xludf.DUMMYFUNCTION("""COMPUTED_VALUE"""),"Placed new Pluvimate in already installed tube on Géopolis roof - NB two tubes present, Pluvimate is in the one that is closer to the building door.")</f>
        <v>Placed new Pluvimate in already installed tube on Géopolis roof - NB two tubes present, Pluvimate is in the one that is closer to the building door.</v>
      </c>
    </row>
    <row r="10" ht="15.75" customHeight="1">
      <c r="A10" s="8">
        <f>IFERROR(__xludf.DUMMYFUNCTION("""COMPUTED_VALUE"""),44880.62723515046)</f>
        <v>44880.62724</v>
      </c>
      <c r="B10" s="7" t="str">
        <f>IFERROR(__xludf.DUMMYFUNCTION("""COMPUTED_VALUE"""),"Floreana")</f>
        <v>Floreana</v>
      </c>
      <c r="C10" s="7" t="str">
        <f>IFERROR(__xludf.DUMMYFUNCTION("""COMPUTED_VALUE"""),"Data download")</f>
        <v>Data download</v>
      </c>
      <c r="D10" s="7" t="str">
        <f>IFERROR(__xludf.DUMMYFUNCTION("""COMPUTED_VALUE"""),"Logger removed from tube at 14:30 Lausanne time for data download (NB false impact registered during download!) ")</f>
        <v>Logger removed from tube at 14:30 Lausanne time for data download (NB false impact registered during download!) </v>
      </c>
    </row>
    <row r="11" ht="15.75" customHeight="1">
      <c r="A11" s="8">
        <f>IFERROR(__xludf.DUMMYFUNCTION("""COMPUTED_VALUE"""),44880.65743233796)</f>
        <v>44880.65743</v>
      </c>
      <c r="B11" s="7" t="str">
        <f>IFERROR(__xludf.DUMMYFUNCTION("""COMPUTED_VALUE"""),"Floreana")</f>
        <v>Floreana</v>
      </c>
      <c r="C11" s="7" t="str">
        <f>IFERROR(__xludf.DUMMYFUNCTION("""COMPUTED_VALUE"""),"Logger placement after data download")</f>
        <v>Logger placement after data download</v>
      </c>
      <c r="D11" s="7" t="str">
        <f>IFERROR(__xludf.DUMMYFUNCTION("""COMPUTED_VALUE"""),"Retourned logger back in tube at 15:41 Lausanne time")</f>
        <v>Retourned logger back in tube at 15:41 Lausanne time</v>
      </c>
    </row>
    <row r="12" ht="15.75" customHeight="1">
      <c r="A12" s="8">
        <f>IFERROR(__xludf.DUMMYFUNCTION("""COMPUTED_VALUE"""),44945.604166666664)</f>
        <v>44945.60417</v>
      </c>
      <c r="B12" s="7" t="str">
        <f>IFERROR(__xludf.DUMMYFUNCTION("""COMPUTED_VALUE"""),"Floreana")</f>
        <v>Floreana</v>
      </c>
      <c r="C12" s="7" t="str">
        <f>IFERROR(__xludf.DUMMYFUNCTION("""COMPUTED_VALUE"""),"Data download")</f>
        <v>Data download</v>
      </c>
      <c r="D12" s="7" t="str">
        <f>IFERROR(__xludf.DUMMYFUNCTION("""COMPUTED_VALUE"""),"Data download and rescheduled logging to 15:00 UTC, NB, previous logging interval was accidentially set to 2 minutes, now ocrrected to 3 minutes")</f>
        <v>Data download and rescheduled logging to 15:00 UTC, NB, previous logging interval was accidentially set to 2 minutes, now ocrrected to 3 minutes</v>
      </c>
    </row>
    <row r="13" ht="15.75" customHeight="1">
      <c r="A13" s="8">
        <f>IFERROR(__xludf.DUMMYFUNCTION("""COMPUTED_VALUE"""),45013.694757523146)</f>
        <v>45013.69476</v>
      </c>
      <c r="B13" s="7" t="str">
        <f>IFERROR(__xludf.DUMMYFUNCTION("""COMPUTED_VALUE"""),"Floreana")</f>
        <v>Floreana</v>
      </c>
      <c r="C13" s="7" t="str">
        <f>IFERROR(__xludf.DUMMYFUNCTION("""COMPUTED_VALUE"""),"Data download")</f>
        <v>Data download</v>
      </c>
      <c r="D13" s="7" t="str">
        <f>IFERROR(__xludf.DUMMYFUNCTION("""COMPUTED_VALUE"""),"Data download, logging scheduled to start again at 14:45 UTC")</f>
        <v>Data download, logging scheduled to start again at 14:45 UTC</v>
      </c>
    </row>
    <row r="14" ht="15.75" customHeight="1">
      <c r="A14" s="8">
        <f>IFERROR(__xludf.DUMMYFUNCTION("""COMPUTED_VALUE"""),45041.56325883102)</f>
        <v>45041.56326</v>
      </c>
      <c r="B14" s="7" t="str">
        <f>IFERROR(__xludf.DUMMYFUNCTION("""COMPUTED_VALUE"""),"Aurélien")</f>
        <v>Aurélien</v>
      </c>
      <c r="C14" s="7" t="str">
        <f>IFERROR(__xludf.DUMMYFUNCTION("""COMPUTED_VALUE"""),"Data download")</f>
        <v>Data download</v>
      </c>
      <c r="D14" s="7" t="str">
        <f>IFERROR(__xludf.DUMMYFUNCTION("""COMPUTED_VALUE"""),"RAS")</f>
        <v>RAS</v>
      </c>
    </row>
    <row r="15" ht="15.75" customHeight="1">
      <c r="A15" s="8">
        <f>IFERROR(__xludf.DUMMYFUNCTION("""COMPUTED_VALUE"""),45105.439409004626)</f>
        <v>45105.43941</v>
      </c>
      <c r="B15" s="7" t="str">
        <f>IFERROR(__xludf.DUMMYFUNCTION("""COMPUTED_VALUE"""),"Aurélien")</f>
        <v>Aurélien</v>
      </c>
      <c r="C15" s="7" t="str">
        <f>IFERROR(__xludf.DUMMYFUNCTION("""COMPUTED_VALUE"""),"Data download")</f>
        <v>Data download</v>
      </c>
      <c r="D15" s="7" t="str">
        <f>IFERROR(__xludf.DUMMYFUNCTION("""COMPUTED_VALUE"""),"RAS, data downloaded")</f>
        <v>RAS, data downloaded</v>
      </c>
    </row>
    <row r="16" ht="15.75" customHeight="1">
      <c r="A16" s="8">
        <f>IFERROR(__xludf.DUMMYFUNCTION("""COMPUTED_VALUE"""),45147.50470230324)</f>
        <v>45147.5047</v>
      </c>
      <c r="B16" s="7" t="str">
        <f>IFERROR(__xludf.DUMMYFUNCTION("""COMPUTED_VALUE"""),"Dan")</f>
        <v>Dan</v>
      </c>
      <c r="C16" s="7" t="str">
        <f>IFERROR(__xludf.DUMMYFUNCTION("""COMPUTED_VALUE"""),"Data download")</f>
        <v>Data download</v>
      </c>
      <c r="D16" s="7" t="str">
        <f>IFERROR(__xludf.DUMMYFUNCTION("""COMPUTED_VALUE"""),"Restarted logging at 10:15 UTC")</f>
        <v>Restarted logging at 10:15 UTC</v>
      </c>
    </row>
    <row r="17" ht="15.75" customHeight="1">
      <c r="A17" s="8">
        <f>IFERROR(__xludf.DUMMYFUNCTION("""COMPUTED_VALUE"""),45230.48131840277)</f>
        <v>45230.48132</v>
      </c>
      <c r="B17" s="7" t="str">
        <f>IFERROR(__xludf.DUMMYFUNCTION("""COMPUTED_VALUE"""),"Dan")</f>
        <v>Dan</v>
      </c>
      <c r="C17" s="7" t="str">
        <f>IFERROR(__xludf.DUMMYFUNCTION("""COMPUTED_VALUE"""),"Data download")</f>
        <v>Data download</v>
      </c>
      <c r="D17" s="7" t="str">
        <f>IFERROR(__xludf.DUMMYFUNCTION("""COMPUTED_VALUE"""),"Logging restarted for 10:45 UTC")</f>
        <v>Logging restarted for 10:45 UTC</v>
      </c>
    </row>
    <row r="18" ht="15.75" customHeight="1">
      <c r="A18" s="8">
        <f>IFERROR(__xludf.DUMMYFUNCTION("""COMPUTED_VALUE"""),45250.41850696759)</f>
        <v>45250.41851</v>
      </c>
      <c r="B18" s="7" t="str">
        <f>IFERROR(__xludf.DUMMYFUNCTION("""COMPUTED_VALUE"""),"Dan")</f>
        <v>Dan</v>
      </c>
      <c r="C18" s="7" t="str">
        <f>IFERROR(__xludf.DUMMYFUNCTION("""COMPUTED_VALUE"""),"Data download")</f>
        <v>Data download</v>
      </c>
      <c r="D18" s="7" t="str">
        <f>IFERROR(__xludf.DUMMYFUNCTION("""COMPUTED_VALUE"""),"Restarted logger at 9:15 UTC")</f>
        <v>Restarted logger at 9:15 UTC</v>
      </c>
    </row>
    <row r="19" ht="15.75" customHeight="1">
      <c r="A19" s="8">
        <f>IFERROR(__xludf.DUMMYFUNCTION("""COMPUTED_VALUE"""),45337.62722594907)</f>
        <v>45337.62723</v>
      </c>
      <c r="B19" s="7" t="str">
        <f>IFERROR(__xludf.DUMMYFUNCTION("""COMPUTED_VALUE"""),"Dan")</f>
        <v>Dan</v>
      </c>
      <c r="C19" s="7" t="str">
        <f>IFERROR(__xludf.DUMMYFUNCTION("""COMPUTED_VALUE"""),"Data download")</f>
        <v>Data download</v>
      </c>
      <c r="D19" s="7" t="str">
        <f>IFERROR(__xludf.DUMMYFUNCTION("""COMPUTED_VALUE"""),"Restarted Logging at 14:30 UTC with system OMEGA")</f>
        <v>Restarted Logging at 14:30 UTC with system OMEGA</v>
      </c>
    </row>
    <row r="20" ht="15.75" customHeight="1">
      <c r="A20" s="8">
        <f>IFERROR(__xludf.DUMMYFUNCTION("""COMPUTED_VALUE"""),45393.46316733796)</f>
        <v>45393.46317</v>
      </c>
      <c r="B20" s="7" t="str">
        <f>IFERROR(__xludf.DUMMYFUNCTION("""COMPUTED_VALUE"""),"Dan")</f>
        <v>Dan</v>
      </c>
      <c r="C20" s="7" t="str">
        <f>IFERROR(__xludf.DUMMYFUNCTION("""COMPUTED_VALUE"""),"New installation, Data download")</f>
        <v>New installation, Data download</v>
      </c>
      <c r="D20" s="7" t="str">
        <f>IFERROR(__xludf.DUMMYFUNCTION("""COMPUTED_VALUE"""),"Data download and changed the system to the old one (need to recover the data every 60 days). Started the logger at 9:30 UTC")</f>
        <v>Data download and changed the system to the old one (need to recover the data every 60 days). Started the logger at 9:30 UTC</v>
      </c>
    </row>
    <row r="21" ht="15.75" customHeight="1">
      <c r="A21" s="8">
        <f>IFERROR(__xludf.DUMMYFUNCTION("""COMPUTED_VALUE"""),45607.59689212963)</f>
        <v>45607.59689</v>
      </c>
      <c r="B21" s="7" t="str">
        <f>IFERROR(__xludf.DUMMYFUNCTION("""COMPUTED_VALUE"""),"Floreana")</f>
        <v>Floreana</v>
      </c>
      <c r="C21" s="7" t="str">
        <f>IFERROR(__xludf.DUMMYFUNCTION("""COMPUTED_VALUE"""),"Data download")</f>
        <v>Data download</v>
      </c>
      <c r="D21" s="7" t="str">
        <f>IFERROR(__xludf.DUMMYFUNCTION("""COMPUTED_VALUE"""),"data download - unfortunately data missing since end of June due to miscommunication. Restarted logging at 08:30 UTC")</f>
        <v>data download - unfortunately data missing since end of June due to miscommunication. Restarted logging at 08:30 UTC</v>
      </c>
    </row>
    <row r="22" ht="15.75" customHeight="1">
      <c r="A22" s="8">
        <f>IFERROR(__xludf.DUMMYFUNCTION("""COMPUTED_VALUE"""),45642.62209866898)</f>
        <v>45642.6221</v>
      </c>
      <c r="B22" s="7" t="str">
        <f>IFERROR(__xludf.DUMMYFUNCTION("""COMPUTED_VALUE"""),"Floreana")</f>
        <v>Floreana</v>
      </c>
      <c r="C22" s="7" t="str">
        <f>IFERROR(__xludf.DUMMYFUNCTION("""COMPUTED_VALUE"""),"Data download")</f>
        <v>Data download</v>
      </c>
      <c r="D22" s="7" t="str">
        <f>IFERROR(__xludf.DUMMYFUNCTION("""COMPUTED_VALUE"""),"Logging restarted at 14:00UTC")</f>
        <v>Logging restarted at 14:00UTC</v>
      </c>
    </row>
    <row r="23" ht="15.75" customHeight="1">
      <c r="A23" s="8">
        <f>IFERROR(__xludf.DUMMYFUNCTION("""COMPUTED_VALUE"""),45692.54911940973)</f>
        <v>45692.54912</v>
      </c>
      <c r="B23" s="7" t="str">
        <f>IFERROR(__xludf.DUMMYFUNCTION("""COMPUTED_VALUE"""),"Floreana")</f>
        <v>Floreana</v>
      </c>
      <c r="C23" s="7" t="str">
        <f>IFERROR(__xludf.DUMMYFUNCTION("""COMPUTED_VALUE"""),"Data download")</f>
        <v>Data download</v>
      </c>
      <c r="D23" s="7" t="str">
        <f>IFERROR(__xludf.DUMMYFUNCTION("""COMPUTED_VALUE"""),"restarted logging at 12:15UTC")</f>
        <v>restarted logging at 12:15UTC</v>
      </c>
    </row>
    <row r="24" ht="15.75" customHeight="1">
      <c r="A24" s="8">
        <f>IFERROR(__xludf.DUMMYFUNCTION("""COMPUTED_VALUE"""),45741.472309386576)</f>
        <v>45741.47231</v>
      </c>
      <c r="B24" s="7" t="str">
        <f>IFERROR(__xludf.DUMMYFUNCTION("""COMPUTED_VALUE"""),"Floreana")</f>
        <v>Floreana</v>
      </c>
      <c r="C24" s="7" t="str">
        <f>IFERROR(__xludf.DUMMYFUNCTION("""COMPUTED_VALUE"""),"Data download")</f>
        <v>Data download</v>
      </c>
      <c r="D24" s="7" t="str">
        <f>IFERROR(__xludf.DUMMYFUNCTION("""COMPUTED_VALUE"""),"Restarted logging 10:30UTC")</f>
        <v>Restarted logging 10:30UTC</v>
      </c>
    </row>
    <row r="25" ht="15.75" customHeight="1">
      <c r="A25" s="8">
        <f>IFERROR(__xludf.DUMMYFUNCTION("""COMPUTED_VALUE"""),45762.52893576389)</f>
        <v>45762.52894</v>
      </c>
      <c r="B25" s="7" t="str">
        <f>IFERROR(__xludf.DUMMYFUNCTION("""COMPUTED_VALUE"""),"Floreana")</f>
        <v>Floreana</v>
      </c>
      <c r="C25" s="7" t="str">
        <f>IFERROR(__xludf.DUMMYFUNCTION("""COMPUTED_VALUE"""),"Logger replacement")</f>
        <v>Logger replacement</v>
      </c>
      <c r="D25" s="7" t="str">
        <f>IFERROR(__xludf.DUMMYFUNCTION("""COMPUTED_VALUE"""),"placed simple pluvimate in tube, logging starting at 11:00UTC")</f>
        <v>placed simple pluvimate in tube, logging starting at 11:00UTC</v>
      </c>
    </row>
    <row r="26" ht="15.75" customHeight="1">
      <c r="A26" s="8">
        <f>IFERROR(__xludf.DUMMYFUNCTION("""COMPUTED_VALUE"""),45792.68019305555)</f>
        <v>45792.68019</v>
      </c>
      <c r="B26" s="7" t="str">
        <f>IFERROR(__xludf.DUMMYFUNCTION("""COMPUTED_VALUE"""),"Floreana")</f>
        <v>Floreana</v>
      </c>
      <c r="C26" s="7" t="str">
        <f>IFERROR(__xludf.DUMMYFUNCTION("""COMPUTED_VALUE"""),"Data download")</f>
        <v>Data download</v>
      </c>
      <c r="D26" s="7" t="str">
        <f>IFERROR(__xludf.DUMMYFUNCTION("""COMPUTED_VALUE"""),"Logging restarted at 13:30 UTC")</f>
        <v>Logging restarted at 13:30 UTC</v>
      </c>
    </row>
    <row r="27" ht="15.75" customHeight="1">
      <c r="A27" s="8">
        <f>IFERROR(__xludf.DUMMYFUNCTION("""COMPUTED_VALUE"""),45867.564165034724)</f>
        <v>45867.56417</v>
      </c>
      <c r="B27" s="7" t="str">
        <f>IFERROR(__xludf.DUMMYFUNCTION("""COMPUTED_VALUE"""),"Floreana")</f>
        <v>Floreana</v>
      </c>
      <c r="C27" s="7" t="str">
        <f>IFERROR(__xludf.DUMMYFUNCTION("""COMPUTED_VALUE"""),"New installation")</f>
        <v>New installation</v>
      </c>
      <c r="D27" s="7" t="str">
        <f>IFERROR(__xludf.DUMMYFUNCTION("""COMPUTED_VALUE"""),"Installation of new LoRa system. Started at 11:30 UTC, logging interval 3minutes. Test! Running old pluvimate in parallel")</f>
        <v>Installation of new LoRa system. Started at 11:30 UTC, logging interval 3minutes. Test! Running old pluvimate in parallel</v>
      </c>
    </row>
    <row r="28" ht="15.75" customHeight="1">
      <c r="A28" s="8">
        <f>IFERROR(__xludf.DUMMYFUNCTION("""COMPUTED_VALUE"""),45958.54312292824)</f>
        <v>45958.54312</v>
      </c>
      <c r="B28" s="7" t="str">
        <f>IFERROR(__xludf.DUMMYFUNCTION("""COMPUTED_VALUE"""),"Floreana")</f>
        <v>Floreana</v>
      </c>
      <c r="C28" s="7" t="str">
        <f>IFERROR(__xludf.DUMMYFUNCTION("""COMPUTED_VALUE"""),"restarting")</f>
        <v>restarting</v>
      </c>
      <c r="D28" s="7" t="str">
        <f>IFERROR(__xludf.DUMMYFUNCTION("""COMPUTED_VALUE"""),"Restarting node at 12:00UTCbto resolve network problem (no data was sent/node deactivated)")</f>
        <v>Restarting node at 12:00UTCbto resolve network problem (no data was sent/node deactivated)</v>
      </c>
    </row>
    <row r="29" ht="15.75" customHeight="1">
      <c r="A29" s="8">
        <f>IFERROR(__xludf.DUMMYFUNCTION("""COMPUTED_VALUE"""),45994.7376825463)</f>
        <v>45994.73768</v>
      </c>
      <c r="B29" s="7" t="str">
        <f>IFERROR(__xludf.DUMMYFUNCTION("""COMPUTED_VALUE"""),"Floreana")</f>
        <v>Floreana</v>
      </c>
      <c r="C29" s="7" t="str">
        <f>IFERROR(__xludf.DUMMYFUNCTION("""COMPUTED_VALUE"""),"reboot")</f>
        <v>reboot</v>
      </c>
      <c r="D29" s="7" t="str">
        <f>IFERROR(__xludf.DUMMYFUNCTION("""COMPUTED_VALUE"""),"Noticed logging had stopped since 25.11.2025. restarting node at around 16:45 UTC")</f>
        <v>Noticed logging had stopped since 25.11.2025. restarting node at around 16:45 UTC</v>
      </c>
    </row>
    <row r="30" ht="15.75" customHeight="1">
      <c r="A30" s="9">
        <f>IFERROR(__xludf.DUMMYFUNCTION("""COMPUTED_VALUE"""),46002.49060348379)</f>
        <v>46002.4906</v>
      </c>
      <c r="B30" s="7" t="str">
        <f>IFERROR(__xludf.DUMMYFUNCTION("""COMPUTED_VALUE"""),"Floreana")</f>
        <v>Floreana</v>
      </c>
      <c r="C30" s="7" t="str">
        <f>IFERROR(__xludf.DUMMYFUNCTION("""COMPUTED_VALUE"""),"Data download, Logger replacement")</f>
        <v>Data download, Logger replacement</v>
      </c>
      <c r="D30" s="7" t="str">
        <f>IFERROR(__xludf.DUMMYFUNCTION("""COMPUTED_VALUE"""),"retrieved logger and data from September, installe new simple pluvimate, logging starting at 09:15 UTC, treid to reboot LoRa but no response")</f>
        <v>retrieved logger and data from September, installe new simple pluvimate, logging starting at 09:15 UTC, treid to reboot LoRa but no response</v>
      </c>
    </row>
    <row r="31" ht="15.75" customHeight="1">
      <c r="A31" s="13">
        <f>IFERROR(__xludf.DUMMYFUNCTION("""COMPUTED_VALUE"""),46006.45187478009)</f>
        <v>46006.45187</v>
      </c>
      <c r="B31" s="14" t="str">
        <f>IFERROR(__xludf.DUMMYFUNCTION("""COMPUTED_VALUE"""),"Haris")</f>
        <v>Haris</v>
      </c>
      <c r="C31" s="14" t="str">
        <f>IFERROR(__xludf.DUMMYFUNCTION("""COMPUTED_VALUE"""),"New installation, Data download, Reboot")</f>
        <v>New installation, Data download, Reboot</v>
      </c>
      <c r="D31" s="14" t="str">
        <f>IFERROR(__xludf.DUMMYFUNCTION("""COMPUTED_VALUE"""),"tried to reboot the LoRa system again, no success, installed simple pluvimate (11 Dec 2025)")</f>
        <v>tried to reboot the LoRa system again, no success, installed simple pluvimate (11 Dec 2025)</v>
      </c>
    </row>
    <row r="32" ht="15.75" customHeight="1">
      <c r="A32" s="13">
        <f>IFERROR(__xludf.DUMMYFUNCTION("""COMPUTED_VALUE"""),46006.47080947917)</f>
        <v>46006.47081</v>
      </c>
      <c r="B32" s="14" t="str">
        <f>IFERROR(__xludf.DUMMYFUNCTION("""COMPUTED_VALUE"""),"Charlotte")</f>
        <v>Charlotte</v>
      </c>
      <c r="C32" s="14" t="str">
        <f>IFERROR(__xludf.DUMMYFUNCTION("""COMPUTED_VALUE"""),"Data download")</f>
        <v>Data download</v>
      </c>
      <c r="D32" s="14" t="str">
        <f>IFERROR(__xludf.DUMMYFUNCTION("""COMPUTED_VALUE"""),"Data download and logger reprogramming. New start at 10:30 UTC")</f>
        <v>Data download and logger reprogramming. New start at 10:30 UTC</v>
      </c>
    </row>
    <row r="33" ht="15.75" customHeight="1">
      <c r="A33" s="13">
        <f>IFERROR(__xludf.DUMMYFUNCTION("""COMPUTED_VALUE"""),46043.381345925925)</f>
        <v>46043.38135</v>
      </c>
      <c r="B33" s="14" t="str">
        <f>IFERROR(__xludf.DUMMYFUNCTION("""COMPUTED_VALUE"""),"Floreana")</f>
        <v>Floreana</v>
      </c>
      <c r="C33" s="14" t="str">
        <f>IFERROR(__xludf.DUMMYFUNCTION("""COMPUTED_VALUE"""),"Reboot")</f>
        <v>Reboot</v>
      </c>
      <c r="D33" s="14" t="str">
        <f>IFERROR(__xludf.DUMMYFUNCTION("""COMPUTED_VALUE"""),"Rebooted LoRa system, changed spreading factor to 12, and disabled ADR and rejoin mode.")</f>
        <v>Rebooted LoRa system, changed spreading factor to 12, and disabled ADR and rejoin mode.</v>
      </c>
    </row>
    <row r="34" ht="15.75" customHeight="1">
      <c r="A34" s="13">
        <f>IFERROR(__xludf.DUMMYFUNCTION("""COMPUTED_VALUE"""),46128.37899950231)</f>
        <v>46128.379</v>
      </c>
      <c r="B34" s="14" t="str">
        <f>IFERROR(__xludf.DUMMYFUNCTION("""COMPUTED_VALUE"""),"Floreana")</f>
        <v>Floreana</v>
      </c>
      <c r="C34" s="14" t="str">
        <f>IFERROR(__xludf.DUMMYFUNCTION("""COMPUTED_VALUE"""),"Data download")</f>
        <v>Data download</v>
      </c>
      <c r="D34" s="14" t="str">
        <f>IFERROR(__xludf.DUMMYFUNCTION("""COMPUTED_VALUE"""),"Data downloaded from back up old system (data until 21 February), then restarted logging for 09:15UTC")</f>
        <v>Data downloaded from back up old system (data until 21 February), then restarted logging for 09:15UTC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9.0"/>
    <col customWidth="1" min="3" max="3" width="46.75"/>
    <col customWidth="1" min="4" max="4" width="194.38"/>
  </cols>
  <sheetData>
    <row r="1" ht="15.75" customHeight="1">
      <c r="A1" s="10" t="s">
        <v>288</v>
      </c>
      <c r="C1" s="7" t="s">
        <v>254</v>
      </c>
    </row>
    <row r="2" ht="15.75" customHeight="1">
      <c r="A2" s="7" t="s">
        <v>289</v>
      </c>
      <c r="C2" s="7" t="s">
        <v>290</v>
      </c>
    </row>
    <row r="3" ht="15.75" customHeight="1">
      <c r="A3" s="7" t="s">
        <v>291</v>
      </c>
      <c r="C3" s="7" t="s">
        <v>292</v>
      </c>
    </row>
    <row r="4" ht="15.75" customHeight="1">
      <c r="A4" s="7" t="s">
        <v>293</v>
      </c>
      <c r="C4" s="7" t="s">
        <v>294</v>
      </c>
    </row>
    <row r="5" ht="15.75" customHeight="1"/>
    <row r="6" ht="15.75" customHeight="1">
      <c r="A6" s="10" t="s">
        <v>261</v>
      </c>
      <c r="B6" s="10"/>
      <c r="C6" s="10"/>
      <c r="D6" s="10"/>
    </row>
    <row r="7" ht="15.75" customHeight="1">
      <c r="A7" s="11" t="s">
        <v>252</v>
      </c>
      <c r="B7" s="11" t="s">
        <v>2</v>
      </c>
      <c r="C7" s="11" t="s">
        <v>3</v>
      </c>
      <c r="D7" s="11" t="s">
        <v>4</v>
      </c>
    </row>
    <row r="8" ht="15.75" customHeight="1">
      <c r="A8" s="8">
        <f>IFERROR(__xludf.DUMMYFUNCTION("FILTER(Form_responses!A:A, Form_responses!B:B=""GRVN"")"),44873.546784363425)</f>
        <v>44873.54678</v>
      </c>
      <c r="B8" s="7" t="str">
        <f>IFERROR(__xludf.DUMMYFUNCTION("FILTER(Form_responses_old!C:E, Form_responses_old!B:B=""GRVN"")"),"Floreana")</f>
        <v>Floreana</v>
      </c>
      <c r="C8" s="7" t="str">
        <f>IFERROR(__xludf.DUMMYFUNCTION("""COMPUTED_VALUE"""),"Logger setup")</f>
        <v>Logger setup</v>
      </c>
      <c r="D8" s="7" t="str">
        <f>IFERROR(__xludf.DUMMYFUNCTION("""COMPUTED_VALUE"""),"Programmed logger to 3min interval, starting 09.11.2022 at 00:00 UTC")</f>
        <v>Programmed logger to 3min interval, starting 09.11.2022 at 00:00 UTC</v>
      </c>
    </row>
    <row r="9" ht="15.75" customHeight="1">
      <c r="A9" s="8">
        <f>IFERROR(__xludf.DUMMYFUNCTION("""COMPUTED_VALUE"""),44873.67971384259)</f>
        <v>44873.67971</v>
      </c>
      <c r="B9" s="7" t="str">
        <f>IFERROR(__xludf.DUMMYFUNCTION("""COMPUTED_VALUE"""),"Aurélien")</f>
        <v>Aurélien</v>
      </c>
      <c r="C9" s="7" t="str">
        <f>IFERROR(__xludf.DUMMYFUNCTION("""COMPUTED_VALUE"""),"New installation, Pluvimate ")</f>
        <v>New installation, Pluvimate </v>
      </c>
      <c r="D9" s="7" t="str">
        <f>IFERROR(__xludf.DUMMYFUNCTION("""COMPUTED_VALUE"""),"New Pluvimate placed in tube. Next visit bring flat head screw.")</f>
        <v>New Pluvimate placed in tube. Next visit bring flat head screw.</v>
      </c>
    </row>
    <row r="10" ht="15.75" customHeight="1">
      <c r="A10" s="8">
        <f>IFERROR(__xludf.DUMMYFUNCTION("""COMPUTED_VALUE"""),44967.708333333336)</f>
        <v>44967.70833</v>
      </c>
      <c r="B10" s="7" t="str">
        <f>IFERROR(__xludf.DUMMYFUNCTION("""COMPUTED_VALUE"""),"Floreana")</f>
        <v>Floreana</v>
      </c>
      <c r="C10" s="7" t="str">
        <f>IFERROR(__xludf.DUMMYFUNCTION("""COMPUTED_VALUE"""),"Data download")</f>
        <v>Data download</v>
      </c>
      <c r="D10" s="7" t="str">
        <f>IFERROR(__xludf.DUMMYFUNCTION("""COMPUTED_VALUE"""),"Data download and logger reprogamming. New start at 13:30 UTC")</f>
        <v>Data download and logger reprogamming. New start at 13:30 UTC</v>
      </c>
    </row>
    <row r="11" ht="15.75" customHeight="1">
      <c r="A11" s="8">
        <f>IFERROR(__xludf.DUMMYFUNCTION("""COMPUTED_VALUE"""),45012.64596734954)</f>
        <v>45012.64597</v>
      </c>
      <c r="B11" s="7" t="str">
        <f>IFERROR(__xludf.DUMMYFUNCTION("""COMPUTED_VALUE"""),"Aurélien")</f>
        <v>Aurélien</v>
      </c>
      <c r="C11" s="7" t="str">
        <f>IFERROR(__xludf.DUMMYFUNCTION("""COMPUTED_VALUE"""),"Data download")</f>
        <v>Data download</v>
      </c>
      <c r="D11" s="7" t="str">
        <f>IFERROR(__xludf.DUMMYFUNCTION("""COMPUTED_VALUE"""),"Start at 16:00 the 08/06/2023 but installed the 09/06/2023 at 10:30")</f>
        <v>Start at 16:00 the 08/06/2023 but installed the 09/06/2023 at 10:30</v>
      </c>
    </row>
    <row r="12" ht="15.75" customHeight="1">
      <c r="A12" s="8">
        <f>IFERROR(__xludf.DUMMYFUNCTION("""COMPUTED_VALUE"""),45085.46193327547)</f>
        <v>45085.46193</v>
      </c>
      <c r="B12" s="7" t="str">
        <f>IFERROR(__xludf.DUMMYFUNCTION("""COMPUTED_VALUE"""),"Dan")</f>
        <v>Dan</v>
      </c>
      <c r="C12" s="7" t="str">
        <f>IFERROR(__xludf.DUMMYFUNCTION("""COMPUTED_VALUE"""),"Data download")</f>
        <v>Data download</v>
      </c>
      <c r="D12" s="7" t="str">
        <f>IFERROR(__xludf.DUMMYFUNCTION("""COMPUTED_VALUE"""),"Data download, logging restarted at 8:00 utc")</f>
        <v>Data download, logging restarted at 8:00 utc</v>
      </c>
    </row>
    <row r="13" ht="15.75" customHeight="1">
      <c r="A13" s="8">
        <f>IFERROR(__xludf.DUMMYFUNCTION("""COMPUTED_VALUE"""),45195.40949320602)</f>
        <v>45195.40949</v>
      </c>
      <c r="B13" s="7" t="str">
        <f>IFERROR(__xludf.DUMMYFUNCTION("""COMPUTED_VALUE"""),"Dan")</f>
        <v>Dan</v>
      </c>
      <c r="C13" s="7" t="str">
        <f>IFERROR(__xludf.DUMMYFUNCTION("""COMPUTED_VALUE"""),"Data download")</f>
        <v>Data download</v>
      </c>
      <c r="D13" s="7" t="str">
        <f>IFERROR(__xludf.DUMMYFUNCTION("""COMPUTED_VALUE"""),"Data downloaded, logger restarted for 12:00 UTC")</f>
        <v>Data downloaded, logger restarted for 12:00 UTC</v>
      </c>
    </row>
    <row r="14" ht="15.75" customHeight="1">
      <c r="A14" s="8">
        <f>IFERROR(__xludf.DUMMYFUNCTION("""COMPUTED_VALUE"""),45217.57524935185)</f>
        <v>45217.57525</v>
      </c>
      <c r="B14" s="7" t="str">
        <f>IFERROR(__xludf.DUMMYFUNCTION("""COMPUTED_VALUE"""),"Dan")</f>
        <v>Dan</v>
      </c>
      <c r="C14" s="7" t="str">
        <f>IFERROR(__xludf.DUMMYFUNCTION("""COMPUTED_VALUE"""),"New installation, Data download")</f>
        <v>New installation, Data download</v>
      </c>
      <c r="D14" s="7" t="str">
        <f>IFERROR(__xludf.DUMMYFUNCTION("""COMPUTED_VALUE"""),"D15
Changed installation, now with Omega installation, started recording at 14:00 UTC, downloaded data from pluvimate")</f>
        <v>D15
Changed installation, now with Omega installation, started recording at 14:00 UTC, downloaded data from pluvimate</v>
      </c>
    </row>
    <row r="15" ht="15.75" customHeight="1">
      <c r="A15" s="8">
        <f>IFERROR(__xludf.DUMMYFUNCTION("""COMPUTED_VALUE"""),45278.67686131944)</f>
        <v>45278.67686</v>
      </c>
      <c r="B15" s="7" t="str">
        <f>IFERROR(__xludf.DUMMYFUNCTION("""COMPUTED_VALUE"""),"Floreana")</f>
        <v>Floreana</v>
      </c>
      <c r="C15" s="7" t="str">
        <f>IFERROR(__xludf.DUMMYFUNCTION("""COMPUTED_VALUE"""),"Data download, Repair / Cleaning")</f>
        <v>Data download, Repair / Cleaning</v>
      </c>
      <c r="D15" s="7" t="str">
        <f>IFERROR(__xludf.DUMMYFUNCTION("""COMPUTED_VALUE"""),"Changed powering system Logging restarted 08:45UTC")</f>
        <v>Changed powering system Logging restarted 08:45UTC</v>
      </c>
    </row>
    <row r="16" ht="15.75" customHeight="1">
      <c r="A16" s="8">
        <f>IFERROR(__xludf.DUMMYFUNCTION("""COMPUTED_VALUE"""),45616.4016721875)</f>
        <v>45616.40167</v>
      </c>
      <c r="B16" s="7" t="str">
        <f>IFERROR(__xludf.DUMMYFUNCTION("""COMPUTED_VALUE"""),"Floreana")</f>
        <v>Floreana</v>
      </c>
      <c r="C16" s="7" t="str">
        <f>IFERROR(__xludf.DUMMYFUNCTION("""COMPUTED_VALUE"""),"Logger replacement")</f>
        <v>Logger replacement</v>
      </c>
      <c r="D16" s="7" t="str">
        <f>IFERROR(__xludf.DUMMYFUNCTION("""COMPUTED_VALUE"""),"New wiring system. Logging restarted for 08:30 UTC ")</f>
        <v>New wiring system. Logging restarted for 08:30 UTC </v>
      </c>
    </row>
    <row r="17" ht="15.75" customHeight="1">
      <c r="A17" s="8">
        <f>IFERROR(__xludf.DUMMYFUNCTION("""COMPUTED_VALUE"""),45631.395080138886)</f>
        <v>45631.39508</v>
      </c>
      <c r="B17" s="7" t="str">
        <f>IFERROR(__xludf.DUMMYFUNCTION("""COMPUTED_VALUE"""),"Floreana")</f>
        <v>Floreana</v>
      </c>
      <c r="C17" s="7" t="str">
        <f>IFERROR(__xludf.DUMMYFUNCTION("""COMPUTED_VALUE"""),"Logger replacement")</f>
        <v>Logger replacement</v>
      </c>
      <c r="D17" s="7" t="str">
        <f>IFERROR(__xludf.DUMMYFUNCTION("""COMPUTED_VALUE"""),"Replaced system with simple logger. Starting 9:00UTC. Returning system for data download to office")</f>
        <v>Replaced system with simple logger. Starting 9:00UTC. Returning system for data download to office</v>
      </c>
    </row>
    <row r="18" ht="15.75" customHeight="1">
      <c r="A18" s="8">
        <f>IFERROR(__xludf.DUMMYFUNCTION("""COMPUTED_VALUE"""),45755.46134956018)</f>
        <v>45755.46135</v>
      </c>
      <c r="B18" s="7" t="str">
        <f>IFERROR(__xludf.DUMMYFUNCTION("""COMPUTED_VALUE"""),"Floreana")</f>
        <v>Floreana</v>
      </c>
      <c r="C18" s="7" t="str">
        <f>IFERROR(__xludf.DUMMYFUNCTION("""COMPUTED_VALUE"""),"Data download")</f>
        <v>Data download</v>
      </c>
      <c r="D18" s="7" t="str">
        <f>IFERROR(__xludf.DUMMYFUNCTION("""COMPUTED_VALUE"""),"Manual data download at office after battery found empty in field. No data after mid December 2024")</f>
        <v>Manual data download at office after battery found empty in field. No data after mid December 2024</v>
      </c>
    </row>
    <row r="19" ht="15.75" customHeight="1">
      <c r="A19" s="8">
        <f>IFERROR(__xludf.DUMMYFUNCTION("""COMPUTED_VALUE"""),45757.475635358795)</f>
        <v>45757.47564</v>
      </c>
      <c r="B19" s="7" t="str">
        <f>IFERROR(__xludf.DUMMYFUNCTION("""COMPUTED_VALUE"""),"Floreana")</f>
        <v>Floreana</v>
      </c>
      <c r="C19" s="7" t="str">
        <f>IFERROR(__xludf.DUMMYFUNCTION("""COMPUTED_VALUE"""),"Data download")</f>
        <v>Data download</v>
      </c>
      <c r="D19" s="7" t="str">
        <f>IFERROR(__xludf.DUMMYFUNCTION("""COMPUTED_VALUE"""),"Logging restarted for 08:00UTC")</f>
        <v>Logging restarted for 08:00UTC</v>
      </c>
    </row>
    <row r="20" ht="15.75" customHeight="1">
      <c r="A20" s="8">
        <f>IFERROR(__xludf.DUMMYFUNCTION("""COMPUTED_VALUE"""),45820.41166582176)</f>
        <v>45820.41167</v>
      </c>
      <c r="B20" s="7" t="str">
        <f>IFERROR(__xludf.DUMMYFUNCTION("""COMPUTED_VALUE"""),"Floreana")</f>
        <v>Floreana</v>
      </c>
      <c r="C20" s="7" t="str">
        <f>IFERROR(__xludf.DUMMYFUNCTION("""COMPUTED_VALUE"""),"New installation, Data download, Logger replacement")</f>
        <v>New installation, Data download, Logger replacement</v>
      </c>
      <c r="D20" s="7" t="str">
        <f>IFERROR(__xludf.DUMMYFUNCTION("""COMPUTED_VALUE"""),"LoRa system installed and counter cleared, starting at approx. 08:41 UTC ")</f>
        <v>LoRa system installed and counter cleared, starting at approx. 08:41 UTC </v>
      </c>
    </row>
    <row r="21" ht="15.75" customHeight="1">
      <c r="A21" s="8">
        <f>IFERROR(__xludf.DUMMYFUNCTION("""COMPUTED_VALUE"""),45874.44633085648)</f>
        <v>45874.44633</v>
      </c>
      <c r="B21" s="7" t="str">
        <f>IFERROR(__xludf.DUMMYFUNCTION("""COMPUTED_VALUE"""),"Floreana")</f>
        <v>Floreana</v>
      </c>
      <c r="C21" s="7" t="str">
        <f>IFERROR(__xludf.DUMMYFUNCTION("""COMPUTED_VALUE"""),"Repair / Cleaning")</f>
        <v>Repair / Cleaning</v>
      </c>
      <c r="D21" s="7" t="str">
        <f>IFERROR(__xludf.DUMMYFUNCTION("""COMPUTED_VALUE"""),"Refitted cable connection 08:30-08:40UTC")</f>
        <v>Refitted cable connection 08:30-08:40UTC</v>
      </c>
    </row>
    <row r="22" ht="15.75" customHeight="1">
      <c r="A22" s="8">
        <f>IFERROR(__xludf.DUMMYFUNCTION("""COMPUTED_VALUE"""),45930.44621582176)</f>
        <v>45930.44622</v>
      </c>
      <c r="B22" s="7" t="str">
        <f>IFERROR(__xludf.DUMMYFUNCTION("""COMPUTED_VALUE"""),"Floreana")</f>
        <v>Floreana</v>
      </c>
      <c r="C22" s="7" t="str">
        <f>IFERROR(__xludf.DUMMYFUNCTION("""COMPUTED_VALUE"""),"Repair / Cleaning")</f>
        <v>Repair / Cleaning</v>
      </c>
      <c r="D22" s="7" t="str">
        <f>IFERROR(__xludf.DUMMYFUNCTION("""COMPUTED_VALUE"""),"At 09:35UTC maintenance visit as data was strange (no new impacts even during heavy rains), seems like funnel was clogged - removed metal sponge and cleaned funnel. Now working properly . NB- remove impacts between 10:35 and 10:55 UTC from data set!")</f>
        <v>At 09:35UTC maintenance visit as data was strange (no new impacts even during heavy rains), seems like funnel was clogged - removed metal sponge and cleaned funnel. Now working properly . NB- remove impacts between 10:35 and 10:55 UTC from data set!</v>
      </c>
    </row>
    <row r="23" ht="15.75" customHeight="1">
      <c r="A23" s="9">
        <f>IFERROR(__xludf.DUMMYFUNCTION("""COMPUTED_VALUE"""),45959.45370752315)</f>
        <v>45959.45371</v>
      </c>
      <c r="B23" s="7" t="str">
        <f>IFERROR(__xludf.DUMMYFUNCTION("""COMPUTED_VALUE"""),"Floreana")</f>
        <v>Floreana</v>
      </c>
      <c r="C23" s="7" t="str">
        <f>IFERROR(__xludf.DUMMYFUNCTION("""COMPUTED_VALUE"""),"Data download")</f>
        <v>Data download</v>
      </c>
      <c r="D23" s="7" t="str">
        <f>IFERROR(__xludf.DUMMYFUNCTION("""COMPUTED_VALUE"""),"Data download and rescheduled logging to 15:15 UTC")</f>
        <v>Data download and rescheduled logging to 15:15 UTC</v>
      </c>
    </row>
    <row r="24" ht="15.75" customHeight="1">
      <c r="A24" s="13">
        <f>IFERROR(__xludf.DUMMYFUNCTION("""COMPUTED_VALUE"""),46057.36139034722)</f>
        <v>46057.36139</v>
      </c>
      <c r="B24" s="15" t="s">
        <v>125</v>
      </c>
      <c r="C24" s="15" t="s">
        <v>43</v>
      </c>
      <c r="D24" s="15" t="s">
        <v>149</v>
      </c>
    </row>
    <row r="25" ht="15.75" customHeight="1">
      <c r="A25" s="13">
        <f>IFERROR(__xludf.DUMMYFUNCTION("""COMPUTED_VALUE"""),46113.32754346065)</f>
        <v>46113.32754</v>
      </c>
      <c r="B25" s="15" t="s">
        <v>6</v>
      </c>
      <c r="C25" s="15" t="s">
        <v>243</v>
      </c>
      <c r="D25" s="15" t="s">
        <v>244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8.75"/>
    <col customWidth="1" min="3" max="3" width="41.75"/>
    <col customWidth="1" min="4" max="4" width="131.63"/>
  </cols>
  <sheetData>
    <row r="1" ht="15.75" customHeight="1">
      <c r="A1" s="10" t="s">
        <v>295</v>
      </c>
      <c r="C1" s="7" t="s">
        <v>254</v>
      </c>
    </row>
    <row r="2" ht="15.75" customHeight="1">
      <c r="A2" s="7" t="s">
        <v>296</v>
      </c>
      <c r="C2" s="7" t="s">
        <v>297</v>
      </c>
    </row>
    <row r="3" ht="15.75" customHeight="1">
      <c r="A3" s="7" t="s">
        <v>298</v>
      </c>
      <c r="C3" s="7" t="s">
        <v>299</v>
      </c>
    </row>
    <row r="4" ht="15.75" customHeight="1"/>
    <row r="5" ht="15.75" customHeight="1"/>
    <row r="6" ht="15.75" customHeight="1">
      <c r="A6" s="10" t="s">
        <v>261</v>
      </c>
      <c r="B6" s="10"/>
      <c r="C6" s="10"/>
      <c r="D6" s="10"/>
    </row>
    <row r="7" ht="15.75" customHeight="1">
      <c r="A7" s="11" t="s">
        <v>252</v>
      </c>
      <c r="B7" s="11" t="s">
        <v>2</v>
      </c>
      <c r="C7" s="11" t="s">
        <v>3</v>
      </c>
      <c r="D7" s="11" t="s">
        <v>4</v>
      </c>
    </row>
    <row r="8" ht="15.75" customHeight="1">
      <c r="A8" s="8">
        <f>IFERROR(__xludf.DUMMYFUNCTION("FILTER(Form_responses!A:A, Form_responses!B:B=""LEXP"")"),44861.46472222222)</f>
        <v>44861.46472</v>
      </c>
      <c r="B8" s="7" t="str">
        <f>IFERROR(__xludf.DUMMYFUNCTION("FILTER(Form_responses_old!C:E, Form_responses_old!B:B=""LEXP"")"),"Floreana")</f>
        <v>Floreana</v>
      </c>
      <c r="C8" s="7" t="str">
        <f>IFERROR(__xludf.DUMMYFUNCTION("""COMPUTED_VALUE"""),"New installation")</f>
        <v>New installation</v>
      </c>
      <c r="D8" s="7" t="str">
        <f>IFERROR(__xludf.DUMMYFUNCTION("""COMPUTED_VALUE"""),"Replaced Big Drip with Pluvimate. Logging interval set to 5 min, starting at 00:00 on 28.10.2022, UTC")</f>
        <v>Replaced Big Drip with Pluvimate. Logging interval set to 5 min, starting at 00:00 on 28.10.2022, UTC</v>
      </c>
    </row>
    <row r="9" ht="15.75" customHeight="1">
      <c r="A9" s="8">
        <f>IFERROR(__xludf.DUMMYFUNCTION("""COMPUTED_VALUE"""),44890.48371958333)</f>
        <v>44890.48372</v>
      </c>
      <c r="B9" s="7" t="str">
        <f>IFERROR(__xludf.DUMMYFUNCTION("""COMPUTED_VALUE"""),"Floreana")</f>
        <v>Floreana</v>
      </c>
      <c r="C9" s="7" t="str">
        <f>IFERROR(__xludf.DUMMYFUNCTION("""COMPUTED_VALUE"""),"Data download, new logging interval")</f>
        <v>Data download, new logging interval</v>
      </c>
      <c r="D9" s="7" t="str">
        <f>IFERROR(__xludf.DUMMYFUNCTION("""COMPUTED_VALUE"""),"Data downloaded, then changed logging interval to 3 minutes, restarting logging at 11h UTC")</f>
        <v>Data downloaded, then changed logging interval to 3 minutes, restarting logging at 11h UTC</v>
      </c>
    </row>
    <row r="10" ht="15.75" customHeight="1">
      <c r="A10" s="8">
        <f>IFERROR(__xludf.DUMMYFUNCTION("""COMPUTED_VALUE"""),44944.69102174768)</f>
        <v>44944.69102</v>
      </c>
      <c r="B10" s="7" t="str">
        <f>IFERROR(__xludf.DUMMYFUNCTION("""COMPUTED_VALUE"""),"Floreana")</f>
        <v>Floreana</v>
      </c>
      <c r="C10" s="7" t="str">
        <f>IFERROR(__xludf.DUMMYFUNCTION("""COMPUTED_VALUE"""),"Data download")</f>
        <v>Data download</v>
      </c>
      <c r="D10" s="7" t="str">
        <f>IFERROR(__xludf.DUMMYFUNCTION("""COMPUTED_VALUE"""),"Data download and rescheduled logging to 15:30 UTC")</f>
        <v>Data download and rescheduled logging to 15:30 UTC</v>
      </c>
    </row>
    <row r="11" ht="15.75" customHeight="1">
      <c r="A11" s="8">
        <f>IFERROR(__xludf.DUMMYFUNCTION("""COMPUTED_VALUE"""),45030.416676064815)</f>
        <v>45030.41668</v>
      </c>
      <c r="B11" s="7" t="str">
        <f>IFERROR(__xludf.DUMMYFUNCTION("""COMPUTED_VALUE"""),"Aurélien")</f>
        <v>Aurélien</v>
      </c>
      <c r="C11" s="7" t="str">
        <f>IFERROR(__xludf.DUMMYFUNCTION("""COMPUTED_VALUE"""),"Data download")</f>
        <v>Data download</v>
      </c>
      <c r="D11" s="7" t="str">
        <f>IFERROR(__xludf.DUMMYFUNCTION("""COMPUTED_VALUE"""),"Last data from 27/03/2023")</f>
        <v>Last data from 27/03/2023</v>
      </c>
    </row>
    <row r="12" ht="15.75" customHeight="1">
      <c r="A12" s="8">
        <f>IFERROR(__xludf.DUMMYFUNCTION("""COMPUTED_VALUE"""),45097.438775902774)</f>
        <v>45097.43878</v>
      </c>
      <c r="B12" s="7" t="str">
        <f>IFERROR(__xludf.DUMMYFUNCTION("""COMPUTED_VALUE"""),"Floreana")</f>
        <v>Floreana</v>
      </c>
      <c r="C12" s="7" t="str">
        <f>IFERROR(__xludf.DUMMYFUNCTION("""COMPUTED_VALUE"""),"Data download")</f>
        <v>Data download</v>
      </c>
      <c r="D12" s="7" t="str">
        <f>IFERROR(__xludf.DUMMYFUNCTION("""COMPUTED_VALUE"""),"Data download, logging restarted at 08:30 UTC")</f>
        <v>Data download, logging restarted at 08:30 UTC</v>
      </c>
    </row>
    <row r="13" ht="15.75" customHeight="1">
      <c r="A13" s="8">
        <f>IFERROR(__xludf.DUMMYFUNCTION("""COMPUTED_VALUE"""),45127.57404851852)</f>
        <v>45127.57405</v>
      </c>
      <c r="B13" s="7" t="str">
        <f>IFERROR(__xludf.DUMMYFUNCTION("""COMPUTED_VALUE"""),"Floreana")</f>
        <v>Floreana</v>
      </c>
      <c r="C13" s="7" t="str">
        <f>IFERROR(__xludf.DUMMYFUNCTION("""COMPUTED_VALUE"""),"Data download")</f>
        <v>Data download</v>
      </c>
      <c r="D13" s="7" t="str">
        <f>IFERROR(__xludf.DUMMYFUNCTION("""COMPUTED_VALUE"""),"schedules to restart logging at 12:00 UTC")</f>
        <v>schedules to restart logging at 12:00 UTC</v>
      </c>
    </row>
    <row r="14" ht="15.75" customHeight="1">
      <c r="A14" s="8">
        <f>IFERROR(__xludf.DUMMYFUNCTION("""COMPUTED_VALUE"""),45155.42993763889)</f>
        <v>45155.42994</v>
      </c>
      <c r="B14" s="7" t="str">
        <f>IFERROR(__xludf.DUMMYFUNCTION("""COMPUTED_VALUE"""),"Floreana")</f>
        <v>Floreana</v>
      </c>
      <c r="C14" s="7" t="str">
        <f>IFERROR(__xludf.DUMMYFUNCTION("""COMPUTED_VALUE"""),"Data download")</f>
        <v>Data download</v>
      </c>
      <c r="D14" s="7" t="str">
        <f>IFERROR(__xludf.DUMMYFUNCTION("""COMPUTED_VALUE"""),"New logging starting at 08:30 UTC")</f>
        <v>New logging starting at 08:30 UTC</v>
      </c>
    </row>
    <row r="15" ht="15.75" customHeight="1">
      <c r="A15" s="8">
        <f>IFERROR(__xludf.DUMMYFUNCTION("""COMPUTED_VALUE"""),45216.46786607639)</f>
        <v>45216.46787</v>
      </c>
      <c r="B15" s="7" t="str">
        <f>IFERROR(__xludf.DUMMYFUNCTION("""COMPUTED_VALUE"""),"Floreana")</f>
        <v>Floreana</v>
      </c>
      <c r="C15" s="7" t="str">
        <f>IFERROR(__xludf.DUMMYFUNCTION("""COMPUTED_VALUE"""),"Data download, Repair / Cleaning")</f>
        <v>Data download, Repair / Cleaning</v>
      </c>
      <c r="D15" s="7" t="str">
        <f>IFERROR(__xludf.DUMMYFUNCTION("""COMPUTED_VALUE"""),"Data download and sensor cleaning. Rescheduled to start logging at 09:30 UTC")</f>
        <v>Data download and sensor cleaning. Rescheduled to start logging at 09:30 UTC</v>
      </c>
    </row>
    <row r="16" ht="15.75" customHeight="1">
      <c r="A16" s="8">
        <f>IFERROR(__xludf.DUMMYFUNCTION("""COMPUTED_VALUE"""),45274.39495498843)</f>
        <v>45274.39495</v>
      </c>
      <c r="B16" s="7" t="str">
        <f>IFERROR(__xludf.DUMMYFUNCTION("""COMPUTED_VALUE"""),"Floreana")</f>
        <v>Floreana</v>
      </c>
      <c r="C16" s="7" t="str">
        <f>IFERROR(__xludf.DUMMYFUNCTION("""COMPUTED_VALUE"""),"Data download")</f>
        <v>Data download</v>
      </c>
      <c r="D16" s="7" t="str">
        <f>IFERROR(__xludf.DUMMYFUNCTION("""COMPUTED_VALUE"""),"Data download; scheduled to restart logging at 08:45 UTC")</f>
        <v>Data download; scheduled to restart logging at 08:45 UTC</v>
      </c>
    </row>
    <row r="17" ht="15.75" customHeight="1">
      <c r="A17" s="8">
        <f>IFERROR(__xludf.DUMMYFUNCTION("""COMPUTED_VALUE"""),45335.450985821764)</f>
        <v>45335.45099</v>
      </c>
      <c r="B17" s="7" t="str">
        <f>IFERROR(__xludf.DUMMYFUNCTION("""COMPUTED_VALUE"""),"Floreana")</f>
        <v>Floreana</v>
      </c>
      <c r="C17" s="7" t="str">
        <f>IFERROR(__xludf.DUMMYFUNCTION("""COMPUTED_VALUE"""),"Data download, Repair / Cleaning")</f>
        <v>Data download, Repair / Cleaning</v>
      </c>
      <c r="D17" s="7" t="str">
        <f>IFERROR(__xludf.DUMMYFUNCTION("""COMPUTED_VALUE"""),"Data download, redid bird repellant ""crown"", rescheduled to start logging at 10:15 UTC")</f>
        <v>Data download, redid bird repellant "crown", rescheduled to start logging at 10:15 UTC</v>
      </c>
    </row>
    <row r="18" ht="15.75" customHeight="1">
      <c r="A18" s="8">
        <f>IFERROR(__xludf.DUMMYFUNCTION("""COMPUTED_VALUE"""),45393.59611868055)</f>
        <v>45393.59612</v>
      </c>
      <c r="B18" s="7" t="str">
        <f>IFERROR(__xludf.DUMMYFUNCTION("""COMPUTED_VALUE"""),"Dan")</f>
        <v>Dan</v>
      </c>
      <c r="C18" s="7" t="str">
        <f>IFERROR(__xludf.DUMMYFUNCTION("""COMPUTED_VALUE"""),"New installation, Data download")</f>
        <v>New installation, Data download</v>
      </c>
      <c r="D18" s="7" t="str">
        <f>IFERROR(__xludf.DUMMYFUNCTION("""COMPUTED_VALUE"""),"Installed the new Omega system, started the logging at 12:30 UTC")</f>
        <v>Installed the new Omega system, started the logging at 12:30 UTC</v>
      </c>
    </row>
    <row r="19" ht="15.75" customHeight="1">
      <c r="A19" s="8">
        <f>IFERROR(__xludf.DUMMYFUNCTION("""COMPUTED_VALUE"""),45609.62473618056)</f>
        <v>45609.62474</v>
      </c>
      <c r="B19" s="7" t="str">
        <f>IFERROR(__xludf.DUMMYFUNCTION("""COMPUTED_VALUE"""),"Floreana")</f>
        <v>Floreana</v>
      </c>
      <c r="C19" s="7" t="str">
        <f>IFERROR(__xludf.DUMMYFUNCTION("""COMPUTED_VALUE"""),"Data download, Repair / Cleaning")</f>
        <v>Data download, Repair / Cleaning</v>
      </c>
      <c r="D19" s="7" t="str">
        <f>IFERROR(__xludf.DUMMYFUNCTION("""COMPUTED_VALUE"""),"Solar panel cable a bit broken, needs repair soon. Logging restarted at 12:30 UTC")</f>
        <v>Solar panel cable a bit broken, needs repair soon. Logging restarted at 12:30 UTC</v>
      </c>
    </row>
    <row r="20" ht="15.75" customHeight="1">
      <c r="A20" s="8">
        <f>IFERROR(__xludf.DUMMYFUNCTION("""COMPUTED_VALUE"""),45644.46148216435)</f>
        <v>45644.46148</v>
      </c>
      <c r="B20" s="7" t="str">
        <f>IFERROR(__xludf.DUMMYFUNCTION("""COMPUTED_VALUE"""),"Floreana")</f>
        <v>Floreana</v>
      </c>
      <c r="C20" s="7" t="str">
        <f>IFERROR(__xludf.DUMMYFUNCTION("""COMPUTED_VALUE"""),"Data download, Battery replacement, Repair / Cleaning")</f>
        <v>Data download, Battery replacement, Repair / Cleaning</v>
      </c>
      <c r="D20" s="7" t="str">
        <f>IFERROR(__xludf.DUMMYFUNCTION("""COMPUTED_VALUE"""),"Data downloaded NOT VALID because battery of sensor empty! Replaced battery, reprogrammed to start logging at 09:45 UTC. NB!! Sensor cable broken, needs replacement!!!!")</f>
        <v>Data downloaded NOT VALID because battery of sensor empty! Replaced battery, reprogrammed to start logging at 09:45 UTC. NB!! Sensor cable broken, needs replacement!!!!</v>
      </c>
    </row>
    <row r="21" ht="15.75" customHeight="1">
      <c r="A21" s="8">
        <f>IFERROR(__xludf.DUMMYFUNCTION("""COMPUTED_VALUE"""),45728.45599861111)</f>
        <v>45728.456</v>
      </c>
      <c r="B21" s="7" t="str">
        <f>IFERROR(__xludf.DUMMYFUNCTION("""COMPUTED_VALUE"""),"Floreana")</f>
        <v>Floreana</v>
      </c>
      <c r="C21" s="7" t="str">
        <f>IFERROR(__xludf.DUMMYFUNCTION("""COMPUTED_VALUE"""),"deinstallation for repair ")</f>
        <v>deinstallation for repair </v>
      </c>
      <c r="D21" s="7" t="str">
        <f>IFERROR(__xludf.DUMMYFUNCTION("""COMPUTED_VALUE"""),"Both solar panel cables and sensor cables broken (bird impact?) - battery completely empty, no response from logger. Returning system to office for repair and data backup")</f>
        <v>Both solar panel cables and sensor cables broken (bird impact?) - battery completely empty, no response from logger. Returning system to office for repair and data backup</v>
      </c>
    </row>
    <row r="22" ht="15.75" customHeight="1">
      <c r="A22" s="8">
        <f>IFERROR(__xludf.DUMMYFUNCTION("""COMPUTED_VALUE"""),45757.496477002314)</f>
        <v>45757.49648</v>
      </c>
      <c r="B22" s="7" t="str">
        <f>IFERROR(__xludf.DUMMYFUNCTION("""COMPUTED_VALUE"""),"Floreana")</f>
        <v>Floreana</v>
      </c>
      <c r="C22" s="7" t="str">
        <f>IFERROR(__xludf.DUMMYFUNCTION("""COMPUTED_VALUE"""),"Data download")</f>
        <v>Data download</v>
      </c>
      <c r="D22" s="7" t="str">
        <f>IFERROR(__xludf.DUMMYFUNCTION("""COMPUTED_VALUE"""),"Manual data download at office after battery found empty in field. No data after end of December 2024")</f>
        <v>Manual data download at office after battery found empty in field. No data after end of December 2024</v>
      </c>
    </row>
    <row r="23" ht="15.75" customHeight="1">
      <c r="A23" s="8">
        <f>IFERROR(__xludf.DUMMYFUNCTION("""COMPUTED_VALUE"""),45826.49660424769)</f>
        <v>45826.4966</v>
      </c>
      <c r="B23" s="7" t="str">
        <f>IFERROR(__xludf.DUMMYFUNCTION("""COMPUTED_VALUE"""),"Floreana")</f>
        <v>Floreana</v>
      </c>
      <c r="C23" s="7" t="str">
        <f>IFERROR(__xludf.DUMMYFUNCTION("""COMPUTED_VALUE"""),"Data download")</f>
        <v>Data download</v>
      </c>
      <c r="D23" s="7" t="str">
        <f>IFERROR(__xludf.DUMMYFUNCTION("""COMPUTED_VALUE"""),"Logging restating at 10:00 UTC")</f>
        <v>Logging restating at 10:00 UTC</v>
      </c>
    </row>
    <row r="24" ht="15.75" customHeight="1">
      <c r="A24" s="8">
        <f>IFERROR(__xludf.DUMMYFUNCTION("""COMPUTED_VALUE"""),45881.465609074075)</f>
        <v>45881.46561</v>
      </c>
      <c r="B24" s="7" t="str">
        <f>IFERROR(__xludf.DUMMYFUNCTION("""COMPUTED_VALUE"""),"Floreana")</f>
        <v>Floreana</v>
      </c>
      <c r="C24" s="7" t="str">
        <f>IFERROR(__xludf.DUMMYFUNCTION("""COMPUTED_VALUE"""),"New installation, Data download, Logger replacement")</f>
        <v>New installation, Data download, Logger replacement</v>
      </c>
      <c r="D24" s="7" t="str">
        <f>IFERROR(__xludf.DUMMYFUNCTION("""COMPUTED_VALUE"""),"LoRa installed, count cleared at 09:10 UTC")</f>
        <v>LoRa installed, count cleared at 09:10 UTC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8.5"/>
    <col customWidth="1" min="3" max="3" width="40.5"/>
    <col customWidth="1" min="4" max="4" width="116.88"/>
  </cols>
  <sheetData>
    <row r="1" ht="15.75" customHeight="1">
      <c r="A1" s="10" t="s">
        <v>300</v>
      </c>
      <c r="C1" s="7" t="s">
        <v>254</v>
      </c>
    </row>
    <row r="2" ht="15.75" customHeight="1">
      <c r="A2" s="7" t="s">
        <v>301</v>
      </c>
      <c r="C2" s="7" t="s">
        <v>264</v>
      </c>
    </row>
    <row r="3" ht="15.75" customHeight="1">
      <c r="A3" s="7" t="s">
        <v>302</v>
      </c>
      <c r="C3" s="7" t="s">
        <v>266</v>
      </c>
    </row>
    <row r="4" ht="15.75" customHeight="1">
      <c r="A4" s="7" t="s">
        <v>303</v>
      </c>
      <c r="C4" s="7" t="s">
        <v>268</v>
      </c>
    </row>
    <row r="5" ht="15.75" customHeight="1"/>
    <row r="6" ht="15.75" customHeight="1">
      <c r="A6" s="10" t="s">
        <v>261</v>
      </c>
      <c r="B6" s="10"/>
      <c r="C6" s="10"/>
      <c r="D6" s="10"/>
    </row>
    <row r="7" ht="15.75" customHeight="1">
      <c r="A7" s="11" t="s">
        <v>252</v>
      </c>
      <c r="B7" s="11" t="s">
        <v>2</v>
      </c>
      <c r="C7" s="11" t="s">
        <v>3</v>
      </c>
      <c r="D7" s="11" t="s">
        <v>4</v>
      </c>
    </row>
    <row r="8" ht="15.75" customHeight="1">
      <c r="A8" s="8">
        <f>IFERROR(__xludf.DUMMYFUNCTION("FILTER(Form_responses!A:A, Form_responses!B:B=""PONT"")"),44873.547104108795)</f>
        <v>44873.5471</v>
      </c>
      <c r="B8" s="7" t="str">
        <f>IFERROR(__xludf.DUMMYFUNCTION("FILTER(Form_responses!C:E, Form_responses!B:B=""PONT"")"),"Floreana")</f>
        <v>Floreana</v>
      </c>
      <c r="C8" s="7" t="str">
        <f>IFERROR(__xludf.DUMMYFUNCTION("""COMPUTED_VALUE"""),"Logger setup")</f>
        <v>Logger setup</v>
      </c>
      <c r="D8" s="7" t="str">
        <f>IFERROR(__xludf.DUMMYFUNCTION("""COMPUTED_VALUE"""),"Programmed logger to 3min interval, starting 09.11.2022 at 00:00 UTC")</f>
        <v>Programmed logger to 3min interval, starting 09.11.2022 at 00:00 UTC</v>
      </c>
    </row>
    <row r="9" ht="15.75" customHeight="1">
      <c r="A9" s="8">
        <f>IFERROR(__xludf.DUMMYFUNCTION("""COMPUTED_VALUE"""),44873.639025462966)</f>
        <v>44873.63903</v>
      </c>
      <c r="B9" s="7" t="str">
        <f>IFERROR(__xludf.DUMMYFUNCTION("""COMPUTED_VALUE"""),"Floreana")</f>
        <v>Floreana</v>
      </c>
      <c r="C9" s="7" t="str">
        <f>IFERROR(__xludf.DUMMYFUNCTION("""COMPUTED_VALUE"""),"New installation")</f>
        <v>New installation</v>
      </c>
      <c r="D9" s="7" t="str">
        <f>IFERROR(__xludf.DUMMYFUNCTION("""COMPUTED_VALUE"""),"Put new Pluvimate in tube. Not ideal for radio connection (too visible, close to cars?)")</f>
        <v>Put new Pluvimate in tube. Not ideal for radio connection (too visible, close to cars?)</v>
      </c>
    </row>
    <row r="10" ht="15.75" customHeight="1">
      <c r="A10" s="8">
        <f>IFERROR(__xludf.DUMMYFUNCTION("""COMPUTED_VALUE"""),44936.61972824074)</f>
        <v>44936.61973</v>
      </c>
      <c r="B10" s="7" t="str">
        <f>IFERROR(__xludf.DUMMYFUNCTION("""COMPUTED_VALUE"""),"Floreana")</f>
        <v>Floreana</v>
      </c>
      <c r="C10" s="7" t="str">
        <f>IFERROR(__xludf.DUMMYFUNCTION("""COMPUTED_VALUE"""),"Data download")</f>
        <v>Data download</v>
      </c>
      <c r="D10" s="7" t="str">
        <f>IFERROR(__xludf.DUMMYFUNCTION("""COMPUTED_VALUE"""),"Restart of logging at 13:52 UTC")</f>
        <v>Restart of logging at 13:52 UTC</v>
      </c>
    </row>
    <row r="11" ht="15.75" customHeight="1">
      <c r="A11" s="8">
        <f>IFERROR(__xludf.DUMMYFUNCTION("""COMPUTED_VALUE"""),45012.68839905092)</f>
        <v>45012.6884</v>
      </c>
      <c r="B11" s="7" t="str">
        <f>IFERROR(__xludf.DUMMYFUNCTION("""COMPUTED_VALUE"""),"Floreana")</f>
        <v>Floreana</v>
      </c>
      <c r="C11" s="7" t="str">
        <f>IFERROR(__xludf.DUMMYFUNCTION("""COMPUTED_VALUE"""),"Data download")</f>
        <v>Data download</v>
      </c>
      <c r="D11" s="7" t="str">
        <f>IFERROR(__xludf.DUMMYFUNCTION("""COMPUTED_VALUE"""),"Data download and logger reprogamming. New start at 14:30 UTC")</f>
        <v>Data download and logger reprogamming. New start at 14:30 UTC</v>
      </c>
    </row>
    <row r="12" ht="15.75" customHeight="1">
      <c r="A12" s="8">
        <f>IFERROR(__xludf.DUMMYFUNCTION("""COMPUTED_VALUE"""),45113.447993842594)</f>
        <v>45113.44799</v>
      </c>
      <c r="B12" s="7" t="str">
        <f>IFERROR(__xludf.DUMMYFUNCTION("""COMPUTED_VALUE"""),"Aurélien")</f>
        <v>Aurélien</v>
      </c>
      <c r="C12" s="7" t="str">
        <f>IFERROR(__xludf.DUMMYFUNCTION("""COMPUTED_VALUE"""),"Data download")</f>
        <v>Data download</v>
      </c>
      <c r="D12" s="7" t="str">
        <f>IFERROR(__xludf.DUMMYFUNCTION("""COMPUTED_VALUE"""),"Gap in data since 3/06")</f>
        <v>Gap in data since 3/06</v>
      </c>
    </row>
    <row r="13" ht="15.75" customHeight="1">
      <c r="A13" s="8">
        <f>IFERROR(__xludf.DUMMYFUNCTION("""COMPUTED_VALUE"""),45170.48832243055)</f>
        <v>45170.48832</v>
      </c>
      <c r="B13" s="7" t="str">
        <f>IFERROR(__xludf.DUMMYFUNCTION("""COMPUTED_VALUE"""),"Dan")</f>
        <v>Dan</v>
      </c>
      <c r="C13" s="7" t="str">
        <f>IFERROR(__xludf.DUMMYFUNCTION("""COMPUTED_VALUE"""),"Data download, Logger replacement")</f>
        <v>Data download, Logger replacement</v>
      </c>
      <c r="D13" s="7" t="str">
        <f>IFERROR(__xludf.DUMMYFUNCTION("""COMPUTED_VALUE"""),"replacement of the pluvimate datalogger by a system consisting of a pluvimate sensor and a radiologger, offline capacity 231 days with sampling at 3 minutes
")</f>
        <v>replacement of the pluvimate datalogger by a system consisting of a pluvimate sensor and a radiologger, offline capacity 231 days with sampling at 3 minutes
</v>
      </c>
    </row>
    <row r="14" ht="15.75" customHeight="1">
      <c r="A14" s="8">
        <f>IFERROR(__xludf.DUMMYFUNCTION("""COMPUTED_VALUE"""),45351.384907430554)</f>
        <v>45351.38491</v>
      </c>
      <c r="B14" s="7" t="str">
        <f>IFERROR(__xludf.DUMMYFUNCTION("""COMPUTED_VALUE"""),"Dan")</f>
        <v>Dan</v>
      </c>
      <c r="C14" s="7" t="str">
        <f>IFERROR(__xludf.DUMMYFUNCTION("""COMPUTED_VALUE"""),"New installation")</f>
        <v>New installation</v>
      </c>
      <c r="D14" s="7" t="str">
        <f>IFERROR(__xludf.DUMMYFUNCTION("""COMPUTED_VALUE"""),"Installed an Omega data logger, started it at 8:45 UTC")</f>
        <v>Installed an Omega data logger, started it at 8:45 UTC</v>
      </c>
    </row>
    <row r="15" ht="15.75" customHeight="1">
      <c r="A15" s="8">
        <f>IFERROR(__xludf.DUMMYFUNCTION("""COMPUTED_VALUE"""),45352.36383590278)</f>
        <v>45352.36384</v>
      </c>
      <c r="B15" s="7" t="str">
        <f>IFERROR(__xludf.DUMMYFUNCTION("""COMPUTED_VALUE"""),"Aurélien")</f>
        <v>Aurélien</v>
      </c>
      <c r="C15" s="7" t="str">
        <f>IFERROR(__xludf.DUMMYFUNCTION("""COMPUTED_VALUE"""),"Data download")</f>
        <v>Data download</v>
      </c>
      <c r="D15" s="7" t="str">
        <f>IFERROR(__xludf.DUMMYFUNCTION("""COMPUTED_VALUE"""),"Radio logger back to office, (replacement on the field by Omega datalogger), data downloaded from office ")</f>
        <v>Radio logger back to office, (replacement on the field by Omega datalogger), data downloaded from office </v>
      </c>
    </row>
    <row r="16" ht="15.75" customHeight="1">
      <c r="A16" s="8">
        <f>IFERROR(__xludf.DUMMYFUNCTION("""COMPUTED_VALUE"""),45610.60429050926)</f>
        <v>45610.60429</v>
      </c>
      <c r="B16" s="7" t="str">
        <f>IFERROR(__xludf.DUMMYFUNCTION("""COMPUTED_VALUE"""),"Floreana")</f>
        <v>Floreana</v>
      </c>
      <c r="C16" s="7" t="str">
        <f>IFERROR(__xludf.DUMMYFUNCTION("""COMPUTED_VALUE"""),"Data download")</f>
        <v>Data download</v>
      </c>
      <c r="D16" s="7" t="str">
        <f>IFERROR(__xludf.DUMMYFUNCTION("""COMPUTED_VALUE"""),"Solar panel in bad state, only zero values since last installation??? logging restarted for 13:45 UTC")</f>
        <v>Solar panel in bad state, only zero values since last installation??? logging restarted for 13:45 UTC</v>
      </c>
    </row>
    <row r="17" ht="15.75" customHeight="1">
      <c r="A17" s="8">
        <f>IFERROR(__xludf.DUMMYFUNCTION("""COMPUTED_VALUE"""),45629.60151543982)</f>
        <v>45629.60152</v>
      </c>
      <c r="B17" s="7" t="str">
        <f>IFERROR(__xludf.DUMMYFUNCTION("""COMPUTED_VALUE"""),"Floreana")</f>
        <v>Floreana</v>
      </c>
      <c r="C17" s="7" t="str">
        <f>IFERROR(__xludf.DUMMYFUNCTION("""COMPUTED_VALUE"""),"Logger replacement, Repair / Cleaning")</f>
        <v>Logger replacement, Repair / Cleaning</v>
      </c>
      <c r="D17" s="7" t="str">
        <f>IFERROR(__xludf.DUMMYFUNCTION("""COMPUTED_VALUE"""),"No data since last check. Improved system. Logging restarted at 13:30UTC")</f>
        <v>No data since last check. Improved system. Logging restarted at 13:30UTC</v>
      </c>
    </row>
    <row r="18" ht="15.75" customHeight="1">
      <c r="A18" s="8">
        <f>IFERROR(__xludf.DUMMYFUNCTION("""COMPUTED_VALUE"""),45755.37806935185)</f>
        <v>45755.37807</v>
      </c>
      <c r="B18" s="7" t="str">
        <f>IFERROR(__xludf.DUMMYFUNCTION("""COMPUTED_VALUE"""),"Floreana")</f>
        <v>Floreana</v>
      </c>
      <c r="C18" s="7" t="str">
        <f>IFERROR(__xludf.DUMMYFUNCTION("""COMPUTED_VALUE"""),"Logger replacement")</f>
        <v>Logger replacement</v>
      </c>
      <c r="D18" s="7" t="str">
        <f>IFERROR(__xludf.DUMMYFUNCTION("""COMPUTED_VALUE"""),"Box completely filled with water. Replaced logger with simple pluvimate. ")</f>
        <v>Box completely filled with water. Replaced logger with simple pluvimate. </v>
      </c>
    </row>
    <row r="19" ht="15.75" customHeight="1">
      <c r="A19" s="8">
        <f>IFERROR(__xludf.DUMMYFUNCTION("""COMPUTED_VALUE"""),45755.46048039352)</f>
        <v>45755.46048</v>
      </c>
      <c r="B19" s="7" t="str">
        <f>IFERROR(__xludf.DUMMYFUNCTION("""COMPUTED_VALUE"""),"Floreana")</f>
        <v>Floreana</v>
      </c>
      <c r="C19" s="7" t="str">
        <f>IFERROR(__xludf.DUMMYFUNCTION("""COMPUTED_VALUE"""),"Logger replacement")</f>
        <v>Logger replacement</v>
      </c>
      <c r="D19" s="7"/>
    </row>
    <row r="20" ht="15.75" customHeight="1">
      <c r="A20" s="8">
        <f>IFERROR(__xludf.DUMMYFUNCTION("""COMPUTED_VALUE"""),45820.362573136576)</f>
        <v>45820.36257</v>
      </c>
      <c r="B20" s="7" t="str">
        <f>IFERROR(__xludf.DUMMYFUNCTION("""COMPUTED_VALUE"""),"Floreana")</f>
        <v>Floreana</v>
      </c>
      <c r="C20" s="7" t="str">
        <f>IFERROR(__xludf.DUMMYFUNCTION("""COMPUTED_VALUE"""),"Data download")</f>
        <v>Data download</v>
      </c>
      <c r="D20" s="7" t="str">
        <f>IFERROR(__xludf.DUMMYFUNCTION("""COMPUTED_VALUE"""),"Logging restarted for 06:45UTC")</f>
        <v>Logging restarted for 06:45UTC</v>
      </c>
    </row>
    <row r="21" ht="15.75" customHeight="1">
      <c r="A21" s="8">
        <f>IFERROR(__xludf.DUMMYFUNCTION("""COMPUTED_VALUE"""),45874.35776912037)</f>
        <v>45874.35777</v>
      </c>
      <c r="B21" s="7" t="str">
        <f>IFERROR(__xludf.DUMMYFUNCTION("""COMPUTED_VALUE"""),"Floreana")</f>
        <v>Floreana</v>
      </c>
      <c r="C21" s="7" t="str">
        <f>IFERROR(__xludf.DUMMYFUNCTION("""COMPUTED_VALUE"""),"New installation, Data download, Logger replacement")</f>
        <v>New installation, Data download, Logger replacement</v>
      </c>
      <c r="D21" s="7" t="str">
        <f>IFERROR(__xludf.DUMMYFUNCTION("""COMPUTED_VALUE"""),"LoRa system installed, count cleared at around 06:30UTC")</f>
        <v>LoRa system installed, count cleared at around 06:30UTC</v>
      </c>
    </row>
    <row r="22" ht="15.75" customHeight="1">
      <c r="A22" s="8">
        <f>IFERROR(__xludf.DUMMYFUNCTION("""COMPUTED_VALUE"""),45911.40955675926)</f>
        <v>45911.40956</v>
      </c>
      <c r="B22" s="7" t="str">
        <f>IFERROR(__xludf.DUMMYFUNCTION("""COMPUTED_VALUE"""),"Floreana")</f>
        <v>Floreana</v>
      </c>
      <c r="C22" s="7" t="str">
        <f>IFERROR(__xludf.DUMMYFUNCTION("""COMPUTED_VALUE"""),"Repair / Cleaning")</f>
        <v>Repair / Cleaning</v>
      </c>
      <c r="D22" s="7" t="str">
        <f>IFERROR(__xludf.DUMMYFUNCTION("""COMPUTED_VALUE"""),"count since last installation has remained at 0 -&gt; refitted cable. Testing count (working now). Reset counter to 0 at 07:15UTC")</f>
        <v>count since last installation has remained at 0 -&gt; refitted cable. Testing count (working now). Reset counter to 0 at 07:15UTC</v>
      </c>
    </row>
    <row r="23" ht="15.75" customHeight="1">
      <c r="A23" s="8">
        <f>IFERROR(__xludf.DUMMYFUNCTION("""COMPUTED_VALUE"""),45951.659070995374)</f>
        <v>45951.65907</v>
      </c>
      <c r="B23" s="7" t="str">
        <f>IFERROR(__xludf.DUMMYFUNCTION("""COMPUTED_VALUE"""),"Floreana")</f>
        <v>Floreana</v>
      </c>
      <c r="C23" s="7" t="str">
        <f>IFERROR(__xludf.DUMMYFUNCTION("""COMPUTED_VALUE"""),"reconnected to LoRa network ")</f>
        <v>reconnected to LoRa network </v>
      </c>
      <c r="D23" s="7" t="str">
        <f>IFERROR(__xludf.DUMMYFUNCTION("""COMPUTED_VALUE"""),"Station has picked up signal from gateway installed at ROUV at around 13:39UTC. ")</f>
        <v>Station has picked up signal from gateway installed at ROUV at around 13:39UTC. </v>
      </c>
    </row>
    <row r="24" ht="15.75" customHeight="1">
      <c r="A24" s="8">
        <f>IFERROR(__xludf.DUMMYFUNCTION("""COMPUTED_VALUE"""),45952.41514604166)</f>
        <v>45952.41515</v>
      </c>
      <c r="B24" s="7" t="str">
        <f>IFERROR(__xludf.DUMMYFUNCTION("""COMPUTED_VALUE"""),"Floreana")</f>
        <v>Floreana</v>
      </c>
      <c r="C24" s="7" t="str">
        <f>IFERROR(__xludf.DUMMYFUNCTION("""COMPUTED_VALUE"""),"Repair / Cleaning")</f>
        <v>Repair / Cleaning</v>
      </c>
      <c r="D24" s="7" t="str">
        <f>IFERROR(__xludf.DUMMYFUNCTION("""COMPUTED_VALUE"""),"Cable found cut! repair and maintenance performed between approx. 07:00 and 07:55UTC. Now working and sending data to gateway")</f>
        <v>Cable found cut! repair and maintenance performed between approx. 07:00 and 07:55UTC. Now working and sending data to gateway</v>
      </c>
    </row>
    <row r="25" ht="15.75" customHeight="1">
      <c r="A25" s="8">
        <f>IFERROR(__xludf.DUMMYFUNCTION("""COMPUTED_VALUE"""),45959.47886832176)</f>
        <v>45959.47887</v>
      </c>
      <c r="B25" s="7" t="str">
        <f>IFERROR(__xludf.DUMMYFUNCTION("""COMPUTED_VALUE"""),"Floreana")</f>
        <v>Floreana</v>
      </c>
      <c r="C25" s="7" t="str">
        <f>IFERROR(__xludf.DUMMYFUNCTION("""COMPUTED_VALUE"""),"Repair / Cleaning")</f>
        <v>Repair / Cleaning</v>
      </c>
      <c r="D25" s="7" t="str">
        <f>IFERROR(__xludf.DUMMYFUNCTION("""COMPUTED_VALUE"""),"Funnel clogged, cleaned at around 10:20UTC")</f>
        <v>Funnel clogged, cleaned at around 10:20UTC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9.13"/>
    <col customWidth="1" min="3" max="3" width="40.5"/>
    <col customWidth="1" min="4" max="4" width="94.5"/>
  </cols>
  <sheetData>
    <row r="1" ht="15.75" customHeight="1">
      <c r="A1" s="10" t="s">
        <v>304</v>
      </c>
      <c r="C1" s="7" t="s">
        <v>254</v>
      </c>
    </row>
    <row r="2" ht="15.75" customHeight="1">
      <c r="A2" s="7" t="s">
        <v>305</v>
      </c>
      <c r="C2" s="7" t="s">
        <v>306</v>
      </c>
    </row>
    <row r="3" ht="15.75" customHeight="1">
      <c r="A3" s="7" t="s">
        <v>307</v>
      </c>
      <c r="C3" s="7" t="s">
        <v>308</v>
      </c>
    </row>
    <row r="4" ht="15.75" customHeight="1">
      <c r="A4" s="7" t="s">
        <v>309</v>
      </c>
    </row>
    <row r="5" ht="15.75" customHeight="1"/>
    <row r="6" ht="15.75" customHeight="1">
      <c r="A6" s="10" t="s">
        <v>261</v>
      </c>
      <c r="B6" s="10"/>
      <c r="C6" s="10"/>
      <c r="D6" s="10"/>
    </row>
    <row r="7" ht="15.75" customHeight="1">
      <c r="A7" s="11" t="s">
        <v>252</v>
      </c>
      <c r="B7" s="11" t="s">
        <v>2</v>
      </c>
      <c r="C7" s="11" t="s">
        <v>3</v>
      </c>
      <c r="D7" s="11" t="s">
        <v>4</v>
      </c>
    </row>
    <row r="8" ht="15.75" customHeight="1">
      <c r="A8" s="8">
        <f>IFERROR(__xludf.DUMMYFUNCTION("FILTER(Form_responses!A:A, Form_responses!B:B=""RIPR"")"),44873.54609884259)</f>
        <v>44873.5461</v>
      </c>
      <c r="B8" s="7" t="str">
        <f>IFERROR(__xludf.DUMMYFUNCTION("FILTER(Form_responses!C:E, Form_responses!B:B=""RIPR"")"),"Floreana")</f>
        <v>Floreana</v>
      </c>
      <c r="C8" s="7" t="str">
        <f>IFERROR(__xludf.DUMMYFUNCTION("""COMPUTED_VALUE"""),"Logger setup")</f>
        <v>Logger setup</v>
      </c>
      <c r="D8" s="7" t="str">
        <f>IFERROR(__xludf.DUMMYFUNCTION("""COMPUTED_VALUE"""),"Programmed logger to 3min interval, starting 09.11.2022 at 00:00 UTC")</f>
        <v>Programmed logger to 3min interval, starting 09.11.2022 at 00:00 UTC</v>
      </c>
    </row>
    <row r="9" ht="15.75" customHeight="1">
      <c r="A9" s="8">
        <f>IFERROR(__xludf.DUMMYFUNCTION("""COMPUTED_VALUE"""),44873.66374722222)</f>
        <v>44873.66375</v>
      </c>
      <c r="B9" s="7" t="str">
        <f>IFERROR(__xludf.DUMMYFUNCTION("""COMPUTED_VALUE"""),"Floreana")</f>
        <v>Floreana</v>
      </c>
      <c r="C9" s="7" t="str">
        <f>IFERROR(__xludf.DUMMYFUNCTION("""COMPUTED_VALUE"""),"New installation, Pluvimate ")</f>
        <v>New installation, Pluvimate </v>
      </c>
      <c r="D9" s="7" t="str">
        <f>IFERROR(__xludf.DUMMYFUNCTION("""COMPUTED_VALUE"""),"New Pluvimate placed in tube. No funnel! Need replacement soon!")</f>
        <v>New Pluvimate placed in tube. No funnel! Need replacement soon!</v>
      </c>
    </row>
    <row r="10" ht="15.75" customHeight="1">
      <c r="A10" s="8">
        <f>IFERROR(__xludf.DUMMYFUNCTION("""COMPUTED_VALUE"""),44902.43176399305)</f>
        <v>44902.43176</v>
      </c>
      <c r="B10" s="7" t="str">
        <f>IFERROR(__xludf.DUMMYFUNCTION("""COMPUTED_VALUE"""),"Aurélien")</f>
        <v>Aurélien</v>
      </c>
      <c r="C10" s="7" t="str">
        <f>IFERROR(__xludf.DUMMYFUNCTION("""COMPUTED_VALUE"""),"Repair / Cleaning")</f>
        <v>Repair / Cleaning</v>
      </c>
      <c r="D10" s="7" t="str">
        <f>IFERROR(__xludf.DUMMYFUNCTION("""COMPUTED_VALUE"""),"Installation of the Funnel that was missing")</f>
        <v>Installation of the Funnel that was missing</v>
      </c>
    </row>
    <row r="11" ht="15.75" customHeight="1">
      <c r="A11" s="8">
        <f>IFERROR(__xludf.DUMMYFUNCTION("""COMPUTED_VALUE"""),44936.65981244213)</f>
        <v>44936.65981</v>
      </c>
      <c r="B11" s="7" t="str">
        <f>IFERROR(__xludf.DUMMYFUNCTION("""COMPUTED_VALUE"""),"Floreana")</f>
        <v>Floreana</v>
      </c>
      <c r="C11" s="7" t="str">
        <f>IFERROR(__xludf.DUMMYFUNCTION("""COMPUTED_VALUE"""),"Data download")</f>
        <v>Data download</v>
      </c>
      <c r="D11" s="7" t="str">
        <f>IFERROR(__xludf.DUMMYFUNCTION("""COMPUTED_VALUE"""),"Restart of logging at 15:00 UTC")</f>
        <v>Restart of logging at 15:00 UTC</v>
      </c>
    </row>
    <row r="12" ht="15.75" customHeight="1">
      <c r="A12" s="8">
        <f>IFERROR(__xludf.DUMMYFUNCTION("""COMPUTED_VALUE"""),45012.66154094908)</f>
        <v>45012.66154</v>
      </c>
      <c r="B12" s="7" t="str">
        <f>IFERROR(__xludf.DUMMYFUNCTION("""COMPUTED_VALUE"""),"Floreana")</f>
        <v>Floreana</v>
      </c>
      <c r="C12" s="7" t="str">
        <f>IFERROR(__xludf.DUMMYFUNCTION("""COMPUTED_VALUE"""),"Data download")</f>
        <v>Data download</v>
      </c>
      <c r="D12" s="7" t="str">
        <f>IFERROR(__xludf.DUMMYFUNCTION("""COMPUTED_VALUE"""),"Data download and logger reprogamming. New start at 14:00 UTC")</f>
        <v>Data download and logger reprogamming. New start at 14:00 UTC</v>
      </c>
    </row>
    <row r="13" ht="15.75" customHeight="1">
      <c r="A13" s="8">
        <f>IFERROR(__xludf.DUMMYFUNCTION("""COMPUTED_VALUE"""),45071.663408402776)</f>
        <v>45071.66341</v>
      </c>
      <c r="B13" s="7" t="str">
        <f>IFERROR(__xludf.DUMMYFUNCTION("""COMPUTED_VALUE"""),"Floreana")</f>
        <v>Floreana</v>
      </c>
      <c r="C13" s="7" t="str">
        <f>IFERROR(__xludf.DUMMYFUNCTION("""COMPUTED_VALUE"""),"Data download")</f>
        <v>Data download</v>
      </c>
      <c r="D13" s="7" t="str">
        <f>IFERROR(__xludf.DUMMYFUNCTION("""COMPUTED_VALUE"""),"New logging starting at 14:00 UTC")</f>
        <v>New logging starting at 14:00 UTC</v>
      </c>
    </row>
    <row r="14" ht="15.75" customHeight="1">
      <c r="A14" s="8">
        <f>IFERROR(__xludf.DUMMYFUNCTION("""COMPUTED_VALUE"""),45173.596570243055)</f>
        <v>45173.59657</v>
      </c>
      <c r="B14" s="7" t="str">
        <f>IFERROR(__xludf.DUMMYFUNCTION("""COMPUTED_VALUE"""),"Dan")</f>
        <v>Dan</v>
      </c>
      <c r="C14" s="7" t="str">
        <f>IFERROR(__xludf.DUMMYFUNCTION("""COMPUTED_VALUE"""),"Data download")</f>
        <v>Data download</v>
      </c>
      <c r="D14" s="7" t="str">
        <f>IFERROR(__xludf.DUMMYFUNCTION("""COMPUTED_VALUE"""),"Logger restarted at 12:30 UTC")</f>
        <v>Logger restarted at 12:30 UTC</v>
      </c>
    </row>
    <row r="15" ht="15.75" customHeight="1">
      <c r="A15" s="8">
        <f>IFERROR(__xludf.DUMMYFUNCTION("""COMPUTED_VALUE"""),45237.41309059028)</f>
        <v>45237.41309</v>
      </c>
      <c r="B15" s="7" t="str">
        <f>IFERROR(__xludf.DUMMYFUNCTION("""COMPUTED_VALUE"""),"Dan")</f>
        <v>Dan</v>
      </c>
      <c r="C15" s="7" t="str">
        <f>IFERROR(__xludf.DUMMYFUNCTION("""COMPUTED_VALUE"""),"Data download")</f>
        <v>Data download</v>
      </c>
      <c r="D15" s="7" t="str">
        <f>IFERROR(__xludf.DUMMYFUNCTION("""COMPUTED_VALUE"""),"Logging restarted at 9:00 UTC")</f>
        <v>Logging restarted at 9:00 UTC</v>
      </c>
    </row>
    <row r="16" ht="15.75" customHeight="1">
      <c r="A16" s="8">
        <f>IFERROR(__xludf.DUMMYFUNCTION("""COMPUTED_VALUE"""),45278.53498966435)</f>
        <v>45278.53499</v>
      </c>
      <c r="B16" s="7" t="str">
        <f>IFERROR(__xludf.DUMMYFUNCTION("""COMPUTED_VALUE"""),"Dan")</f>
        <v>Dan</v>
      </c>
      <c r="C16" s="7" t="str">
        <f>IFERROR(__xludf.DUMMYFUNCTION("""COMPUTED_VALUE"""),"New installation, Data download")</f>
        <v>New installation, Data download</v>
      </c>
      <c r="D16" s="7" t="str">
        <f>IFERROR(__xludf.DUMMYFUNCTION("""COMPUTED_VALUE"""),"Changed logger, now Omega logger installed, started the logging at 12:00 UTC, downloaded data from the pluvimate ")</f>
        <v>Changed logger, now Omega logger installed, started the logging at 12:00 UTC, downloaded data from the pluvimate </v>
      </c>
    </row>
    <row r="17" ht="15.75" customHeight="1">
      <c r="A17" s="8">
        <f>IFERROR(__xludf.DUMMYFUNCTION("""COMPUTED_VALUE"""),45614.43671165509)</f>
        <v>45614.43671</v>
      </c>
      <c r="B17" s="7" t="str">
        <f>IFERROR(__xludf.DUMMYFUNCTION("""COMPUTED_VALUE"""),"Floreana")</f>
        <v>Floreana</v>
      </c>
      <c r="C17" s="7" t="str">
        <f>IFERROR(__xludf.DUMMYFUNCTION("""COMPUTED_VALUE"""),"New installation, Repair / Cleaning")</f>
        <v>New installation, Repair / Cleaning</v>
      </c>
      <c r="D17" s="7" t="str">
        <f>IFERROR(__xludf.DUMMYFUNCTION("""COMPUTED_VALUE"""),"No response from logger, return to office. Replacement with old pluvimate")</f>
        <v>No response from logger, return to office. Replacement with old pluvimate</v>
      </c>
    </row>
    <row r="18" ht="15.75" customHeight="1">
      <c r="A18" s="8">
        <f>IFERROR(__xludf.DUMMYFUNCTION("""COMPUTED_VALUE"""),45616.427729849536)</f>
        <v>45616.42773</v>
      </c>
      <c r="B18" s="7" t="str">
        <f>IFERROR(__xludf.DUMMYFUNCTION("""COMPUTED_VALUE"""),"Floreana")</f>
        <v>Floreana</v>
      </c>
      <c r="C18" s="7" t="str">
        <f>IFERROR(__xludf.DUMMYFUNCTION("""COMPUTED_VALUE"""),"Data download, Logger replacement")</f>
        <v>Data download, Logger replacement</v>
      </c>
      <c r="D18" s="7" t="str">
        <f>IFERROR(__xludf.DUMMYFUNCTION("""COMPUTED_VALUE"""),"Replaced with long term logger with new powering system. Logging restarted for 09:30 UTC")</f>
        <v>Replaced with long term logger with new powering system. Logging restarted for 09:30 UTC</v>
      </c>
    </row>
    <row r="19" ht="15.75" customHeight="1">
      <c r="A19" s="8">
        <f>IFERROR(__xludf.DUMMYFUNCTION("""COMPUTED_VALUE"""),45616.46222850695)</f>
        <v>45616.46223</v>
      </c>
      <c r="B19" s="7" t="str">
        <f>IFERROR(__xludf.DUMMYFUNCTION("""COMPUTED_VALUE"""),"Floreana")</f>
        <v>Floreana</v>
      </c>
      <c r="C19" s="7" t="str">
        <f>IFERROR(__xludf.DUMMYFUNCTION("""COMPUTED_VALUE"""),"Data download, Logger replacement")</f>
        <v>Data download, Logger replacement</v>
      </c>
      <c r="D19" s="7"/>
    </row>
    <row r="20" ht="15.75" customHeight="1">
      <c r="A20" s="8">
        <f>IFERROR(__xludf.DUMMYFUNCTION("""COMPUTED_VALUE"""),45631.431358368056)</f>
        <v>45631.43136</v>
      </c>
      <c r="B20" s="7" t="str">
        <f>IFERROR(__xludf.DUMMYFUNCTION("""COMPUTED_VALUE"""),"Floreana")</f>
        <v>Floreana</v>
      </c>
      <c r="C20" s="7" t="str">
        <f>IFERROR(__xludf.DUMMYFUNCTION("""COMPUTED_VALUE"""),"Data download, Logger replacement")</f>
        <v>Data download, Logger replacement</v>
      </c>
      <c r="D20" s="7" t="str">
        <f>IFERROR(__xludf.DUMMYFUNCTION("""COMPUTED_VALUE"""),"Water in logger box! But still functioning. New wiring system. Logging restarted for 09:30UTC")</f>
        <v>Water in logger box! But still functioning. New wiring system. Logging restarted for 09:30UTC</v>
      </c>
    </row>
    <row r="21" ht="15.75" customHeight="1">
      <c r="A21" s="8">
        <f>IFERROR(__xludf.DUMMYFUNCTION("""COMPUTED_VALUE"""),45755.47617494213)</f>
        <v>45755.47617</v>
      </c>
      <c r="B21" s="7" t="str">
        <f>IFERROR(__xludf.DUMMYFUNCTION("""COMPUTED_VALUE"""),"Floreana")</f>
        <v>Floreana</v>
      </c>
      <c r="C21" s="7" t="str">
        <f>IFERROR(__xludf.DUMMYFUNCTION("""COMPUTED_VALUE"""),"Logger replacement")</f>
        <v>Logger replacement</v>
      </c>
      <c r="D21" s="7" t="str">
        <f>IFERROR(__xludf.DUMMYFUNCTION("""COMPUTED_VALUE"""),"Replaced system with simple pluvimate. Returning system to office for improvement and data download")</f>
        <v>Replaced system with simple pluvimate. Returning system to office for improvement and data download</v>
      </c>
    </row>
    <row r="22" ht="15.75" customHeight="1">
      <c r="A22" s="8">
        <f>IFERROR(__xludf.DUMMYFUNCTION("""COMPUTED_VALUE"""),45755.495385752314)</f>
        <v>45755.49539</v>
      </c>
      <c r="B22" s="7" t="str">
        <f>IFERROR(__xludf.DUMMYFUNCTION("""COMPUTED_VALUE"""),"Floreana")</f>
        <v>Floreana</v>
      </c>
      <c r="C22" s="7" t="str">
        <f>IFERROR(__xludf.DUMMYFUNCTION("""COMPUTED_VALUE"""),"Logger replacement")</f>
        <v>Logger replacement</v>
      </c>
      <c r="D22" s="7" t="str">
        <f>IFERROR(__xludf.DUMMYFUNCTION("""COMPUTED_VALUE"""),"Replaced system with simple pluvimate, logging starting at 09:30UTC. Returning system to office for repair and data download ")</f>
        <v>Replaced system with simple pluvimate, logging starting at 09:30UTC. Returning system to office for repair and data download </v>
      </c>
    </row>
    <row r="23" ht="15.75" customHeight="1">
      <c r="A23" s="8">
        <f>IFERROR(__xludf.DUMMYFUNCTION("""COMPUTED_VALUE"""),45757.48577222222)</f>
        <v>45757.48577</v>
      </c>
      <c r="B23" s="7" t="str">
        <f>IFERROR(__xludf.DUMMYFUNCTION("""COMPUTED_VALUE"""),"Floreana")</f>
        <v>Floreana</v>
      </c>
      <c r="C23" s="7" t="str">
        <f>IFERROR(__xludf.DUMMYFUNCTION("""COMPUTED_VALUE"""),"Data download")</f>
        <v>Data download</v>
      </c>
      <c r="D23" s="7" t="str">
        <f>IFERROR(__xludf.DUMMYFUNCTION("""COMPUTED_VALUE"""),"Manual data download at office after battery found empty in field. No data after mid December 2024")</f>
        <v>Manual data download at office after battery found empty in field. No data after mid December 2024</v>
      </c>
    </row>
    <row r="24" ht="15.75" customHeight="1">
      <c r="A24" s="8">
        <f>IFERROR(__xludf.DUMMYFUNCTION("""COMPUTED_VALUE"""),45820.42775109954)</f>
        <v>45820.42775</v>
      </c>
      <c r="B24" s="7" t="str">
        <f>IFERROR(__xludf.DUMMYFUNCTION("""COMPUTED_VALUE"""),"Floreana")</f>
        <v>Floreana</v>
      </c>
      <c r="C24" s="7" t="str">
        <f>IFERROR(__xludf.DUMMYFUNCTION("""COMPUTED_VALUE"""),"Data download, Repair / Cleaning")</f>
        <v>Data download, Repair / Cleaning</v>
      </c>
      <c r="D24" s="7" t="str">
        <f>IFERROR(__xludf.DUMMYFUNCTION("""COMPUTED_VALUE"""),"Funnel slightly covered in bird poop (not clogged). Logging restarted for 08:30UTC")</f>
        <v>Funnel slightly covered in bird poop (not clogged). Logging restarted for 08:30UTC</v>
      </c>
    </row>
    <row r="25" ht="15.75" customHeight="1">
      <c r="A25" s="8">
        <f>IFERROR(__xludf.DUMMYFUNCTION("""COMPUTED_VALUE"""),45820.572256562504)</f>
        <v>45820.57226</v>
      </c>
      <c r="B25" s="7" t="str">
        <f>IFERROR(__xludf.DUMMYFUNCTION("""COMPUTED_VALUE"""),"Floreana")</f>
        <v>Floreana</v>
      </c>
      <c r="C25" s="7" t="str">
        <f>IFERROR(__xludf.DUMMYFUNCTION("""COMPUTED_VALUE"""),"Data download, Repair / Cleaning")</f>
        <v>Data download, Repair / Cleaning</v>
      </c>
      <c r="D25" s="7"/>
    </row>
    <row r="26" ht="15.75" customHeight="1">
      <c r="A26" s="8">
        <f>IFERROR(__xludf.DUMMYFUNCTION("""COMPUTED_VALUE"""),45883.57497405093)</f>
        <v>45883.57497</v>
      </c>
      <c r="B26" s="7" t="str">
        <f>IFERROR(__xludf.DUMMYFUNCTION("""COMPUTED_VALUE"""),"Floreana")</f>
        <v>Floreana</v>
      </c>
      <c r="C26" s="7" t="str">
        <f>IFERROR(__xludf.DUMMYFUNCTION("""COMPUTED_VALUE"""),"New installation, Data download, Logger replacement")</f>
        <v>New installation, Data download, Logger replacement</v>
      </c>
      <c r="D26" s="7" t="str">
        <f>IFERROR(__xludf.DUMMYFUNCTION("""COMPUTED_VALUE"""),"Installed LoRa system, starting at 11:40 UTC")</f>
        <v>Installed LoRa system, starting at 11:40 UTC</v>
      </c>
    </row>
    <row r="27" ht="15.75" customHeight="1">
      <c r="A27" s="8">
        <f>IFERROR(__xludf.DUMMYFUNCTION("""COMPUTED_VALUE"""),45911.698796192126)</f>
        <v>45911.6988</v>
      </c>
      <c r="B27" s="7" t="str">
        <f>IFERROR(__xludf.DUMMYFUNCTION("""COMPUTED_VALUE"""),"Floreana")</f>
        <v>Floreana</v>
      </c>
      <c r="C27" s="7" t="str">
        <f>IFERROR(__xludf.DUMMYFUNCTION("""COMPUTED_VALUE"""),"Repair / Cleaning")</f>
        <v>Repair / Cleaning</v>
      </c>
      <c r="D27" s="7" t="str">
        <f>IFERROR(__xludf.DUMMYFUNCTION("""COMPUTED_VALUE"""),"Count had stayed at 0. Refitted cable, performed test, then reset count to 0 at 14:42UTC")</f>
        <v>Count had stayed at 0. Refitted cable, performed test, then reset count to 0 at 14:42UTC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9.25"/>
    <col customWidth="1" min="3" max="3" width="40.5"/>
    <col customWidth="1" min="4" max="4" width="185.88"/>
  </cols>
  <sheetData>
    <row r="1" ht="15.75" customHeight="1">
      <c r="A1" s="10" t="s">
        <v>310</v>
      </c>
      <c r="C1" s="7" t="s">
        <v>254</v>
      </c>
    </row>
    <row r="2" ht="15.75" customHeight="1">
      <c r="A2" s="7" t="s">
        <v>311</v>
      </c>
      <c r="C2" s="7" t="s">
        <v>312</v>
      </c>
    </row>
    <row r="3" ht="15.75" customHeight="1">
      <c r="A3" s="7" t="s">
        <v>313</v>
      </c>
      <c r="C3" s="7" t="s">
        <v>314</v>
      </c>
    </row>
    <row r="4" ht="15.75" customHeight="1">
      <c r="A4" s="7" t="s">
        <v>315</v>
      </c>
      <c r="C4" s="7" t="s">
        <v>316</v>
      </c>
    </row>
    <row r="5" ht="15.75" customHeight="1"/>
    <row r="6" ht="15.75" customHeight="1">
      <c r="A6" s="10" t="s">
        <v>261</v>
      </c>
      <c r="B6" s="10"/>
      <c r="C6" s="10"/>
      <c r="D6" s="10"/>
    </row>
    <row r="7" ht="15.75" customHeight="1">
      <c r="A7" s="11" t="s">
        <v>252</v>
      </c>
      <c r="B7" s="11" t="s">
        <v>2</v>
      </c>
      <c r="C7" s="11" t="s">
        <v>3</v>
      </c>
      <c r="D7" s="11" t="s">
        <v>4</v>
      </c>
    </row>
    <row r="8" ht="15.75" customHeight="1">
      <c r="A8" s="8">
        <f>IFERROR(__xludf.DUMMYFUNCTION("FILTER(Form_responses!A:A, Form_responses!B:B=""ROUV"")"),44873.546564641205)</f>
        <v>44873.54656</v>
      </c>
      <c r="B8" s="7" t="str">
        <f>IFERROR(__xludf.DUMMYFUNCTION("FILTER(Form_responses!C:E, Form_responses!B:B=""ROUV"")"),"Floreana")</f>
        <v>Floreana</v>
      </c>
      <c r="C8" s="7" t="str">
        <f>IFERROR(__xludf.DUMMYFUNCTION("""COMPUTED_VALUE"""),"Logger setup")</f>
        <v>Logger setup</v>
      </c>
      <c r="D8" s="7" t="str">
        <f>IFERROR(__xludf.DUMMYFUNCTION("""COMPUTED_VALUE"""),"Programmed logger to 3min interval, starting 09.11.2022 at 00:00 UTC")</f>
        <v>Programmed logger to 3min interval, starting 09.11.2022 at 00:00 UTC</v>
      </c>
    </row>
    <row r="9" ht="15.75" customHeight="1">
      <c r="A9" s="8">
        <f>IFERROR(__xludf.DUMMYFUNCTION("""COMPUTED_VALUE"""),44873.62455399305)</f>
        <v>44873.62455</v>
      </c>
      <c r="B9" s="7" t="str">
        <f>IFERROR(__xludf.DUMMYFUNCTION("""COMPUTED_VALUE"""),"Aurélien")</f>
        <v>Aurélien</v>
      </c>
      <c r="C9" s="7" t="str">
        <f>IFERROR(__xludf.DUMMYFUNCTION("""COMPUTED_VALUE"""),"New installation, Logger replacement")</f>
        <v>New installation, Logger replacement</v>
      </c>
      <c r="D9" s="7" t="str">
        <f>IFERROR(__xludf.DUMMYFUNCTION("""COMPUTED_VALUE"""),"Replaced Big Drip with Pluvimate. Missing screw on funnel ")</f>
        <v>Replaced Big Drip with Pluvimate. Missing screw on funnel </v>
      </c>
    </row>
    <row r="10" ht="15.75" customHeight="1">
      <c r="A10" s="8">
        <f>IFERROR(__xludf.DUMMYFUNCTION("""COMPUTED_VALUE"""),44936.604879189814)</f>
        <v>44936.60488</v>
      </c>
      <c r="B10" s="7" t="str">
        <f>IFERROR(__xludf.DUMMYFUNCTION("""COMPUTED_VALUE"""),"Floreana")</f>
        <v>Floreana</v>
      </c>
      <c r="C10" s="7" t="str">
        <f>IFERROR(__xludf.DUMMYFUNCTION("""COMPUTED_VALUE"""),"Data download")</f>
        <v>Data download</v>
      </c>
      <c r="D10" s="7" t="str">
        <f>IFERROR(__xludf.DUMMYFUNCTION("""COMPUTED_VALUE"""),"Restart of logging at 13:30 UTC, next download correct +00:03!")</f>
        <v>Restart of logging at 13:30 UTC, next download correct +00:03!</v>
      </c>
    </row>
    <row r="11" ht="15.75" customHeight="1">
      <c r="A11" s="8">
        <f>IFERROR(__xludf.DUMMYFUNCTION("""COMPUTED_VALUE"""),45012.70947072917)</f>
        <v>45012.70947</v>
      </c>
      <c r="B11" s="7" t="str">
        <f>IFERROR(__xludf.DUMMYFUNCTION("""COMPUTED_VALUE"""),"Floreana")</f>
        <v>Floreana</v>
      </c>
      <c r="C11" s="7" t="str">
        <f>IFERROR(__xludf.DUMMYFUNCTION("""COMPUTED_VALUE"""),"Data download")</f>
        <v>Data download</v>
      </c>
      <c r="D11" s="7" t="str">
        <f>IFERROR(__xludf.DUMMYFUNCTION("""COMPUTED_VALUE"""),"Data download. Reprogrammed Logger to start at 15:00UTC")</f>
        <v>Data download. Reprogrammed Logger to start at 15:00UTC</v>
      </c>
    </row>
    <row r="12" ht="15.75" customHeight="1">
      <c r="A12" s="8">
        <f>IFERROR(__xludf.DUMMYFUNCTION("""COMPUTED_VALUE"""),45041.54882185185)</f>
        <v>45041.54882</v>
      </c>
      <c r="B12" s="7" t="str">
        <f>IFERROR(__xludf.DUMMYFUNCTION("""COMPUTED_VALUE"""),"Aurélien")</f>
        <v>Aurélien</v>
      </c>
      <c r="C12" s="7" t="str">
        <f>IFERROR(__xludf.DUMMYFUNCTION("""COMPUTED_VALUE"""),"Data download, Logger replacement")</f>
        <v>Data download, Logger replacement</v>
      </c>
      <c r="D12" s="7" t="str">
        <f>IFERROR(__xludf.DUMMYFUNCTION("""COMPUTED_VALUE"""),"replacement of the pluvimate datalogger by a system consisting of a pluvimate sensor and a radiologger, offline capacity 231 days with sampling at 3 minutes")</f>
        <v>replacement of the pluvimate datalogger by a system consisting of a pluvimate sensor and a radiologger, offline capacity 231 days with sampling at 3 minutes</v>
      </c>
    </row>
    <row r="13" ht="15.75" customHeight="1">
      <c r="A13" s="8">
        <f>IFERROR(__xludf.DUMMYFUNCTION("""COMPUTED_VALUE"""),45351.41106268518)</f>
        <v>45351.41106</v>
      </c>
      <c r="B13" s="7" t="str">
        <f>IFERROR(__xludf.DUMMYFUNCTION("""COMPUTED_VALUE"""),"Dan")</f>
        <v>Dan</v>
      </c>
      <c r="C13" s="7" t="str">
        <f>IFERROR(__xludf.DUMMYFUNCTION("""COMPUTED_VALUE"""),"New installation")</f>
        <v>New installation</v>
      </c>
      <c r="D13" s="7" t="str">
        <f>IFERROR(__xludf.DUMMYFUNCTION("""COMPUTED_VALUE"""),"Installed the new Omega datalogger, started it at 9:15 UTC")</f>
        <v>Installed the new Omega datalogger, started it at 9:15 UTC</v>
      </c>
    </row>
    <row r="14" ht="15.75" customHeight="1">
      <c r="A14" s="8">
        <f>IFERROR(__xludf.DUMMYFUNCTION("""COMPUTED_VALUE"""),45352.36371628472)</f>
        <v>45352.36372</v>
      </c>
      <c r="B14" s="7" t="str">
        <f>IFERROR(__xludf.DUMMYFUNCTION("""COMPUTED_VALUE"""),"Aurélien")</f>
        <v>Aurélien</v>
      </c>
      <c r="C14" s="7" t="str">
        <f>IFERROR(__xludf.DUMMYFUNCTION("""COMPUTED_VALUE"""),"Data download")</f>
        <v>Data download</v>
      </c>
      <c r="D14" s="7" t="str">
        <f>IFERROR(__xludf.DUMMYFUNCTION("""COMPUTED_VALUE"""),"Radio logger back to office, (replacement on the field by Omega datalogger), data downloaded from office ")</f>
        <v>Radio logger back to office, (replacement on the field by Omega datalogger), data downloaded from office </v>
      </c>
    </row>
    <row r="15" ht="15.75" customHeight="1">
      <c r="A15" s="8">
        <f>IFERROR(__xludf.DUMMYFUNCTION("""COMPUTED_VALUE"""),45610.633447824075)</f>
        <v>45610.63345</v>
      </c>
      <c r="B15" s="7" t="str">
        <f>IFERROR(__xludf.DUMMYFUNCTION("""COMPUTED_VALUE"""),"Floreana")</f>
        <v>Floreana</v>
      </c>
      <c r="C15" s="7" t="str">
        <f>IFERROR(__xludf.DUMMYFUNCTION("""COMPUTED_VALUE"""),"Repair / Cleaning")</f>
        <v>Repair / Cleaning</v>
      </c>
      <c r="D15" s="7" t="str">
        <f>IFERROR(__xludf.DUMMYFUNCTION("""COMPUTED_VALUE"""),"Logger not responding. Pluvimates was vertically in tube. Returning all equipment to office for troubleshooting. No replacement logger installed")</f>
        <v>Logger not responding. Pluvimates was vertically in tube. Returning all equipment to office for troubleshooting. No replacement logger installed</v>
      </c>
    </row>
    <row r="16" ht="15.75" customHeight="1">
      <c r="A16" s="8">
        <f>IFERROR(__xludf.DUMMYFUNCTION("""COMPUTED_VALUE"""),45611.63087717592)</f>
        <v>45611.63088</v>
      </c>
      <c r="B16" s="7" t="str">
        <f>IFERROR(__xludf.DUMMYFUNCTION("""COMPUTED_VALUE"""),"Floreana")</f>
        <v>Floreana</v>
      </c>
      <c r="C16" s="7" t="str">
        <f>IFERROR(__xludf.DUMMYFUNCTION("""COMPUTED_VALUE"""),"Data download, Repair / Cleaning")</f>
        <v>Data download, Repair / Cleaning</v>
      </c>
      <c r="D16" s="7" t="str">
        <f>IFERROR(__xludf.DUMMYFUNCTION("""COMPUTED_VALUE"""),"Connection problems solved?? Data retrieved. Data needs to be checked, because logger was vertically in tube!!")</f>
        <v>Connection problems solved?? Data retrieved. Data needs to be checked, because logger was vertically in tube!!</v>
      </c>
    </row>
    <row r="17" ht="15.75" customHeight="1">
      <c r="A17" s="8">
        <f>IFERROR(__xludf.DUMMYFUNCTION("""COMPUTED_VALUE"""),45614.39815956018)</f>
        <v>45614.39816</v>
      </c>
      <c r="B17" s="7" t="str">
        <f>IFERROR(__xludf.DUMMYFUNCTION("""COMPUTED_VALUE"""),"Floreana")</f>
        <v>Floreana</v>
      </c>
      <c r="C17" s="7" t="str">
        <f>IFERROR(__xludf.DUMMYFUNCTION("""COMPUTED_VALUE"""),"New installation")</f>
        <v>New installation</v>
      </c>
      <c r="D17" s="7" t="str">
        <f>IFERROR(__xludf.DUMMYFUNCTION("""COMPUTED_VALUE"""),"Reinstalled, logging starting at 09:00UTC")</f>
        <v>Reinstalled, logging starting at 09:00UTC</v>
      </c>
    </row>
    <row r="18" ht="15.75" customHeight="1">
      <c r="A18" s="8">
        <f>IFERROR(__xludf.DUMMYFUNCTION("""COMPUTED_VALUE"""),45629.643610416664)</f>
        <v>45629.64361</v>
      </c>
      <c r="B18" s="7" t="str">
        <f>IFERROR(__xludf.DUMMYFUNCTION("""COMPUTED_VALUE"""),"Floreana")</f>
        <v>Floreana</v>
      </c>
      <c r="C18" s="7" t="str">
        <f>IFERROR(__xludf.DUMMYFUNCTION("""COMPUTED_VALUE"""),"Data download, Logger replacement")</f>
        <v>Data download, Logger replacement</v>
      </c>
      <c r="D18" s="7" t="str">
        <f>IFERROR(__xludf.DUMMYFUNCTION("""COMPUTED_VALUE"""),"New wiring setup, logger connected to big battery. Logging restarted for 14:30UTC")</f>
        <v>New wiring setup, logger connected to big battery. Logging restarted for 14:30UTC</v>
      </c>
    </row>
    <row r="19" ht="15.75" customHeight="1">
      <c r="A19" s="8">
        <f>IFERROR(__xludf.DUMMYFUNCTION("""COMPUTED_VALUE"""),45630.66491644676)</f>
        <v>45630.66492</v>
      </c>
      <c r="B19" s="7" t="str">
        <f>IFERROR(__xludf.DUMMYFUNCTION("""COMPUTED_VALUE"""),"Floreana")</f>
        <v>Floreana</v>
      </c>
      <c r="C19" s="7" t="str">
        <f>IFERROR(__xludf.DUMMYFUNCTION("""COMPUTED_VALUE"""),"Logger replacement, Repair / Cleaning")</f>
        <v>Logger replacement, Repair / Cleaning</v>
      </c>
      <c r="D19" s="7" t="str">
        <f>IFERROR(__xludf.DUMMYFUNCTION("""COMPUTED_VALUE"""),"New wiring setup, logger connected to big battery. Logging restarted for 14:30UTC 04.12.24")</f>
        <v>New wiring setup, logger connected to big battery. Logging restarted for 14:30UTC 04.12.24</v>
      </c>
    </row>
    <row r="20" ht="15.75" customHeight="1">
      <c r="A20" s="8">
        <f>IFERROR(__xludf.DUMMYFUNCTION("""COMPUTED_VALUE"""),45755.46087340278)</f>
        <v>45755.46087</v>
      </c>
      <c r="B20" s="7" t="str">
        <f>IFERROR(__xludf.DUMMYFUNCTION("""COMPUTED_VALUE"""),"Floreana")</f>
        <v>Floreana</v>
      </c>
      <c r="C20" s="7" t="str">
        <f>IFERROR(__xludf.DUMMYFUNCTION("""COMPUTED_VALUE"""),"Repair / Cleaning")</f>
        <v>Repair / Cleaning</v>
      </c>
      <c r="D20" s="7" t="str">
        <f>IFERROR(__xludf.DUMMYFUNCTION("""COMPUTED_VALUE"""),"Battery at 2V. Returned system to office.")</f>
        <v>Battery at 2V. Returned system to office.</v>
      </c>
    </row>
    <row r="21" ht="15.75" customHeight="1">
      <c r="A21" s="8">
        <f>IFERROR(__xludf.DUMMYFUNCTION("""COMPUTED_VALUE"""),45755.49566162037)</f>
        <v>45755.49566</v>
      </c>
      <c r="B21" s="7" t="str">
        <f>IFERROR(__xludf.DUMMYFUNCTION("""COMPUTED_VALUE"""),"Floreana")</f>
        <v>Floreana</v>
      </c>
      <c r="C21" s="7" t="str">
        <f>IFERROR(__xludf.DUMMYFUNCTION("""COMPUTED_VALUE"""),"Logger replacement")</f>
        <v>Logger replacement</v>
      </c>
      <c r="D21" s="7" t="str">
        <f>IFERROR(__xludf.DUMMYFUNCTION("""COMPUTED_VALUE"""),"Replaced system with simple pluvimate, logging starting at 10:00UTC. Returning system to office for repair and data download ")</f>
        <v>Replaced system with simple pluvimate, logging starting at 10:00UTC. Returning system to office for repair and data download </v>
      </c>
    </row>
    <row r="22" ht="15.75" customHeight="1">
      <c r="A22" s="8">
        <f>IFERROR(__xludf.DUMMYFUNCTION("""COMPUTED_VALUE"""),45755.578603483795)</f>
        <v>45755.5786</v>
      </c>
      <c r="B22" s="7" t="str">
        <f>IFERROR(__xludf.DUMMYFUNCTION("""COMPUTED_VALUE"""),"Floreana")</f>
        <v>Floreana</v>
      </c>
      <c r="C22" s="7" t="str">
        <f>IFERROR(__xludf.DUMMYFUNCTION("""COMPUTED_VALUE"""),"Logger replacement")</f>
        <v>Logger replacement</v>
      </c>
      <c r="D22" s="7"/>
    </row>
    <row r="23" ht="15.75" customHeight="1">
      <c r="A23" s="8">
        <f>IFERROR(__xludf.DUMMYFUNCTION("""COMPUTED_VALUE"""),45757.41363520833)</f>
        <v>45757.41364</v>
      </c>
      <c r="B23" s="7" t="str">
        <f>IFERROR(__xludf.DUMMYFUNCTION("""COMPUTED_VALUE"""),"Floreana")</f>
        <v>Floreana</v>
      </c>
      <c r="C23" s="7" t="str">
        <f>IFERROR(__xludf.DUMMYFUNCTION("""COMPUTED_VALUE"""),"Data download")</f>
        <v>Data download</v>
      </c>
      <c r="D23" s="7" t="str">
        <f>IFERROR(__xludf.DUMMYFUNCTION("""COMPUTED_VALUE"""),"manual data download at office, after battery was found empty in the field. data missing since mid December 2024")</f>
        <v>manual data download at office, after battery was found empty in the field. data missing since mid December 2024</v>
      </c>
    </row>
    <row r="24" ht="15.75" customHeight="1">
      <c r="A24" s="8">
        <f>IFERROR(__xludf.DUMMYFUNCTION("""COMPUTED_VALUE"""),45820.387893900464)</f>
        <v>45820.38789</v>
      </c>
      <c r="B24" s="7" t="str">
        <f>IFERROR(__xludf.DUMMYFUNCTION("""COMPUTED_VALUE"""),"Floreana")</f>
        <v>Floreana</v>
      </c>
      <c r="C24" s="7" t="str">
        <f>IFERROR(__xludf.DUMMYFUNCTION("""COMPUTED_VALUE"""),"Data download")</f>
        <v>Data download</v>
      </c>
      <c r="D24" s="7" t="str">
        <f>IFERROR(__xludf.DUMMYFUNCTION("""COMPUTED_VALUE"""),"Logging restarted for 07:30UTC")</f>
        <v>Logging restarted for 07:30UTC</v>
      </c>
    </row>
    <row r="25" ht="15.75" customHeight="1">
      <c r="A25" s="8">
        <f>IFERROR(__xludf.DUMMYFUNCTION("""COMPUTED_VALUE"""),45874.37855528935)</f>
        <v>45874.37856</v>
      </c>
      <c r="B25" s="7" t="str">
        <f>IFERROR(__xludf.DUMMYFUNCTION("""COMPUTED_VALUE"""),"Floreana")</f>
        <v>Floreana</v>
      </c>
      <c r="C25" s="7" t="str">
        <f>IFERROR(__xludf.DUMMYFUNCTION("""COMPUTED_VALUE"""),"New installation, Data download, Logger replacement")</f>
        <v>New installation, Data download, Logger replacement</v>
      </c>
      <c r="D25" s="7" t="str">
        <f>IFERROR(__xludf.DUMMYFUNCTION("""COMPUTED_VALUE"""),"LoRa system installed, started at approx 07:00 UTC")</f>
        <v>LoRa system installed, started at approx 07:00 UTC</v>
      </c>
    </row>
    <row r="26" ht="15.75" customHeight="1">
      <c r="A26" s="8">
        <f>IFERROR(__xludf.DUMMYFUNCTION("""COMPUTED_VALUE"""),45911.64909359954)</f>
        <v>45911.64909</v>
      </c>
      <c r="B26" s="7" t="str">
        <f>IFERROR(__xludf.DUMMYFUNCTION("""COMPUTED_VALUE"""),"Floreana")</f>
        <v>Floreana</v>
      </c>
      <c r="C26" s="7" t="str">
        <f>IFERROR(__xludf.DUMMYFUNCTION("""COMPUTED_VALUE"""),"Repair / Cleaning")</f>
        <v>Repair / Cleaning</v>
      </c>
      <c r="D26" s="7" t="str">
        <f>IFERROR(__xludf.DUMMYFUNCTION("""COMPUTED_VALUE"""),"Count had been at 0. Refitted cable, performed test, then reset count to 0 at 13:33UTC")</f>
        <v>Count had been at 0. Refitted cable, performed test, then reset count to 0 at 13:33UTC</v>
      </c>
    </row>
    <row r="27" ht="15.75" customHeight="1">
      <c r="A27" s="8">
        <f>IFERROR(__xludf.DUMMYFUNCTION("""COMPUTED_VALUE"""),45951.64352373843)</f>
        <v>45951.64352</v>
      </c>
      <c r="B27" s="7" t="str">
        <f>IFERROR(__xludf.DUMMYFUNCTION("""COMPUTED_VALUE"""),"Floreana")</f>
        <v>Floreana</v>
      </c>
      <c r="C27" s="7" t="str">
        <f>IFERROR(__xludf.DUMMYFUNCTION("""COMPUTED_VALUE"""),"New installation")</f>
        <v>New installation</v>
      </c>
      <c r="D27" s="7" t="str">
        <f>IFERROR(__xludf.DUMMYFUNCTION("""COMPUTED_VALUE"""),"Installed gateway on same roof, cable powered from plug inside cabin on flat roof. Pluvimate now connected to LoRa network and sending data since 13:03UTC. Will need to check if other nearby stations (PONT, BOIS) can be linked to this gateway toi")</f>
        <v>Installed gateway on same roof, cable powered from plug inside cabin on flat roof. Pluvimate now connected to LoRa network and sending data since 13:03UTC. Will need to check if other nearby stations (PONT, BOIS) can be linked to this gateway toi</v>
      </c>
    </row>
    <row r="28" ht="15.75" customHeight="1">
      <c r="A28" s="8">
        <f>IFERROR(__xludf.DUMMYFUNCTION("""COMPUTED_VALUE"""),45965.42020815972)</f>
        <v>45965.42021</v>
      </c>
      <c r="B28" s="7" t="str">
        <f>IFERROR(__xludf.DUMMYFUNCTION("""COMPUTED_VALUE"""),"Floreana")</f>
        <v>Floreana</v>
      </c>
      <c r="C28" s="7" t="str">
        <f>IFERROR(__xludf.DUMMYFUNCTION("""COMPUTED_VALUE"""),"New installation, Repair / Cleaning")</f>
        <v>New installation, Repair / Cleaning</v>
      </c>
      <c r="D28" s="7" t="str">
        <f>IFERROR(__xludf.DUMMYFUNCTION("""COMPUTED_VALUE"""),"Installed old system additionally, logging starting at 09:15UTC, checked LoRa system, seems to be running, impacts are detected.")</f>
        <v>Installed old system additionally, logging starting at 09:15UTC, checked LoRa system, seems to be running, impacts are detected.</v>
      </c>
    </row>
    <row r="29" ht="15.75" customHeight="1">
      <c r="A29" s="13">
        <f>IFERROR(__xludf.DUMMYFUNCTION("""COMPUTED_VALUE"""),46113.358949305555)</f>
        <v>46113.35895</v>
      </c>
      <c r="B29" s="14" t="str">
        <f>IFERROR(__xludf.DUMMYFUNCTION("""COMPUTED_VALUE"""),"Floreana")</f>
        <v>Floreana</v>
      </c>
      <c r="C29" s="14" t="str">
        <f>IFERROR(__xludf.DUMMYFUNCTION("""COMPUTED_VALUE"""),"Data download, Repair/Cleaning")</f>
        <v>Data download, Repair/Cleaning</v>
      </c>
      <c r="D29" s="14" t="str">
        <f>IFERROR(__xludf.DUMMYFUNCTION("""COMPUTED_VALUE"""),"Sensor of LoRa system was upsite down. Downloaded data from old pluvimate and restarted logging at 08:30UTC")</f>
        <v>Sensor of LoRa system was upsite down. Downloaded data from old pluvimate and restarted logging at 08:30UTC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5.38"/>
    <col customWidth="1" min="3" max="3" width="40.5"/>
    <col customWidth="1" min="4" max="4" width="116.88"/>
  </cols>
  <sheetData>
    <row r="1" ht="15.75" customHeight="1">
      <c r="A1" s="10" t="s">
        <v>317</v>
      </c>
      <c r="C1" s="7" t="s">
        <v>254</v>
      </c>
    </row>
    <row r="2" ht="15.75" customHeight="1">
      <c r="A2" s="7" t="s">
        <v>318</v>
      </c>
      <c r="C2" s="7" t="s">
        <v>319</v>
      </c>
    </row>
    <row r="3" ht="15.75" customHeight="1">
      <c r="A3" s="7" t="s">
        <v>320</v>
      </c>
      <c r="C3" s="7" t="s">
        <v>321</v>
      </c>
    </row>
    <row r="4" ht="15.75" customHeight="1">
      <c r="A4" s="7" t="s">
        <v>322</v>
      </c>
      <c r="C4" s="7" t="s">
        <v>323</v>
      </c>
    </row>
    <row r="5" ht="15.75" customHeight="1"/>
    <row r="6" ht="15.75" customHeight="1">
      <c r="A6" s="10" t="s">
        <v>261</v>
      </c>
      <c r="B6" s="10"/>
      <c r="C6" s="10"/>
      <c r="D6" s="10"/>
    </row>
    <row r="7" ht="15.75" customHeight="1">
      <c r="A7" s="11" t="s">
        <v>252</v>
      </c>
      <c r="B7" s="11" t="s">
        <v>2</v>
      </c>
      <c r="C7" s="11" t="s">
        <v>3</v>
      </c>
      <c r="D7" s="11" t="s">
        <v>4</v>
      </c>
    </row>
    <row r="8" ht="15.75" customHeight="1">
      <c r="A8" s="8">
        <f>IFERROR(__xludf.DUMMYFUNCTION("FILTER(Form_responses!A:A, Form_responses!B:B=""VCLB"")"),44901.69623162037)</f>
        <v>44901.69623</v>
      </c>
      <c r="B8" s="7" t="str">
        <f>IFERROR(__xludf.DUMMYFUNCTION("FILTER(Form_responses!C:E, Form_responses!B:B=""VCLB"")"),"Floreana")</f>
        <v>Floreana</v>
      </c>
      <c r="C8" s="7" t="str">
        <f>IFERROR(__xludf.DUMMYFUNCTION("""COMPUTED_VALUE"""),"new logging program")</f>
        <v>new logging program</v>
      </c>
      <c r="D8" s="7" t="str">
        <f>IFERROR(__xludf.DUMMYFUNCTION("""COMPUTED_VALUE"""),"installation was delayed, so restarted logging to 08.12.2022 at 00:00UTC")</f>
        <v>installation was delayed, so restarted logging to 08.12.2022 at 00:00UTC</v>
      </c>
    </row>
    <row r="9" ht="15.75" customHeight="1">
      <c r="A9" s="8">
        <f>IFERROR(__xludf.DUMMYFUNCTION("""COMPUTED_VALUE"""),44909.441885381944)</f>
        <v>44909.44189</v>
      </c>
      <c r="B9" s="7" t="str">
        <f>IFERROR(__xludf.DUMMYFUNCTION("""COMPUTED_VALUE"""),"Aurélien")</f>
        <v>Aurélien</v>
      </c>
      <c r="C9" s="7" t="str">
        <f>IFERROR(__xludf.DUMMYFUNCTION("""COMPUTED_VALUE"""),"New installation")</f>
        <v>New installation</v>
      </c>
      <c r="D9" s="7" t="str">
        <f>IFERROR(__xludf.DUMMYFUNCTION("""COMPUTED_VALUE"""),"Installed at 9:30 on the roof of the building close to the sport field")</f>
        <v>Installed at 9:30 on the roof of the building close to the sport field</v>
      </c>
    </row>
    <row r="10" ht="15.75" customHeight="1">
      <c r="A10" s="8">
        <f>IFERROR(__xludf.DUMMYFUNCTION("""COMPUTED_VALUE"""),44986.39357934028)</f>
        <v>44986.39358</v>
      </c>
      <c r="B10" s="7" t="str">
        <f>IFERROR(__xludf.DUMMYFUNCTION("""COMPUTED_VALUE"""),"Aurélien")</f>
        <v>Aurélien</v>
      </c>
      <c r="C10" s="7" t="str">
        <f>IFERROR(__xludf.DUMMYFUNCTION("""COMPUTED_VALUE"""),"Data download")</f>
        <v>Data download</v>
      </c>
      <c r="D10" s="7" t="str">
        <f>IFERROR(__xludf.DUMMYFUNCTION("""COMPUTED_VALUE"""),"Data download and rescheduled logging to 7:45 UTC")</f>
        <v>Data download and rescheduled logging to 7:45 UTC</v>
      </c>
    </row>
    <row r="11" ht="15.75" customHeight="1">
      <c r="A11" s="8">
        <f>IFERROR(__xludf.DUMMYFUNCTION("""COMPUTED_VALUE"""),45041.55002200231)</f>
        <v>45041.55002</v>
      </c>
      <c r="B11" s="7" t="str">
        <f>IFERROR(__xludf.DUMMYFUNCTION("""COMPUTED_VALUE"""),"Aurélien")</f>
        <v>Aurélien</v>
      </c>
      <c r="C11" s="7" t="str">
        <f>IFERROR(__xludf.DUMMYFUNCTION("""COMPUTED_VALUE"""),"Data download, Logger replacement")</f>
        <v>Data download, Logger replacement</v>
      </c>
      <c r="D11" s="7" t="str">
        <f>IFERROR(__xludf.DUMMYFUNCTION("""COMPUTED_VALUE"""),"replacement of the pluvimate datalogger by a system consisting of a pluvimate sensor and a radiologger, offline capacity 231 days with sampling at 3 minutes")</f>
        <v>replacement of the pluvimate datalogger by a system consisting of a pluvimate sensor and a radiologger, offline capacity 231 days with sampling at 3 minutes</v>
      </c>
    </row>
    <row r="12" ht="15.75" customHeight="1">
      <c r="A12" s="8">
        <f>IFERROR(__xludf.DUMMYFUNCTION("""COMPUTED_VALUE"""),45195.45438613426)</f>
        <v>45195.45439</v>
      </c>
      <c r="B12" s="7" t="str">
        <f>IFERROR(__xludf.DUMMYFUNCTION("""COMPUTED_VALUE"""),"Dan")</f>
        <v>Dan</v>
      </c>
      <c r="C12" s="7" t="str">
        <f>IFERROR(__xludf.DUMMYFUNCTION("""COMPUTED_VALUE"""),"Check of the sensor")</f>
        <v>Check of the sensor</v>
      </c>
      <c r="D12" s="7" t="str">
        <f>IFERROR(__xludf.DUMMYFUNCTION("""COMPUTED_VALUE"""),"Sensor was upside-down, no data could be collected. Was placed in right position at around 8:45 UTC")</f>
        <v>Sensor was upside-down, no data could be collected. Was placed in right position at around 8:45 UTC</v>
      </c>
    </row>
    <row r="13" ht="15.75" customHeight="1">
      <c r="A13" s="8">
        <f>IFERROR(__xludf.DUMMYFUNCTION("""COMPUTED_VALUE"""),45237.465617766204)</f>
        <v>45237.46562</v>
      </c>
      <c r="B13" s="7" t="str">
        <f>IFERROR(__xludf.DUMMYFUNCTION("""COMPUTED_VALUE"""),"Dan")</f>
        <v>Dan</v>
      </c>
      <c r="C13" s="7" t="str">
        <f>IFERROR(__xludf.DUMMYFUNCTION("""COMPUTED_VALUE"""),"New installation, Data download")</f>
        <v>New installation, Data download</v>
      </c>
      <c r="D13" s="7" t="str">
        <f>IFERROR(__xludf.DUMMYFUNCTION("""COMPUTED_VALUE"""),"Changed to the old system with only the logger, started the logging at 9:45 UTC")</f>
        <v>Changed to the old system with only the logger, started the logging at 9:45 UTC</v>
      </c>
    </row>
    <row r="14" ht="15.75" customHeight="1">
      <c r="A14" s="8">
        <f>IFERROR(__xludf.DUMMYFUNCTION("""COMPUTED_VALUE"""),45616.654571493054)</f>
        <v>45616.65457</v>
      </c>
      <c r="B14" s="7" t="str">
        <f>IFERROR(__xludf.DUMMYFUNCTION("""COMPUTED_VALUE"""),"Floreana")</f>
        <v>Floreana</v>
      </c>
      <c r="C14" s="7" t="str">
        <f>IFERROR(__xludf.DUMMYFUNCTION("""COMPUTED_VALUE"""),"Logger replacement")</f>
        <v>Logger replacement</v>
      </c>
      <c r="D14" s="7" t="str">
        <f>IFERROR(__xludf.DUMMYFUNCTION("""COMPUTED_VALUE"""),"Logger not responding -&gt; returned to office. Normal pluvimate placed as replacement. Logging started at 14:15 UTC")</f>
        <v>Logger not responding -&gt; returned to office. Normal pluvimate placed as replacement. Logging started at 14:15 UTC</v>
      </c>
    </row>
    <row r="15" ht="15.75" customHeight="1">
      <c r="A15" s="8">
        <f>IFERROR(__xludf.DUMMYFUNCTION("""COMPUTED_VALUE"""),45621.57953920139)</f>
        <v>45621.57954</v>
      </c>
      <c r="B15" s="7" t="str">
        <f>IFERROR(__xludf.DUMMYFUNCTION("""COMPUTED_VALUE"""),"Aurélien")</f>
        <v>Aurélien</v>
      </c>
      <c r="C15" s="7" t="str">
        <f>IFERROR(__xludf.DUMMYFUNCTION("""COMPUTED_VALUE"""),"Data download, Battery replacement")</f>
        <v>Data download, Battery replacement</v>
      </c>
      <c r="D15" s="7" t="str">
        <f>IFERROR(__xludf.DUMMYFUNCTION("""COMPUTED_VALUE"""),"Data recovered at office. Change system - problem was that logger wouldn't work if battery is at &lt; 4V")</f>
        <v>Data recovered at office. Change system - problem was that logger wouldn't work if battery is at &lt; 4V</v>
      </c>
    </row>
    <row r="16" ht="15.75" customHeight="1">
      <c r="A16" s="8">
        <f>IFERROR(__xludf.DUMMYFUNCTION("""COMPUTED_VALUE"""),45623.59602844907)</f>
        <v>45623.59603</v>
      </c>
      <c r="B16" s="7" t="str">
        <f>IFERROR(__xludf.DUMMYFUNCTION("""COMPUTED_VALUE"""),"Floreana")</f>
        <v>Floreana</v>
      </c>
      <c r="C16" s="7" t="str">
        <f>IFERROR(__xludf.DUMMYFUNCTION("""COMPUTED_VALUE"""),"Data download, Logger replacement")</f>
        <v>Data download, Logger replacement</v>
      </c>
      <c r="D16" s="7" t="str">
        <f>IFERROR(__xludf.DUMMYFUNCTION("""COMPUTED_VALUE"""),"Logger replaced with new system. Logging restarted for 14:00UTC")</f>
        <v>Logger replaced with new system. Logging restarted for 14:00UTC</v>
      </c>
    </row>
    <row r="17" ht="15.75" customHeight="1">
      <c r="A17" s="8">
        <f>IFERROR(__xludf.DUMMYFUNCTION("""COMPUTED_VALUE"""),45630.66564648148)</f>
        <v>45630.66565</v>
      </c>
      <c r="B17" s="7" t="str">
        <f>IFERROR(__xludf.DUMMYFUNCTION("""COMPUTED_VALUE"""),"Floreana")</f>
        <v>Floreana</v>
      </c>
      <c r="C17" s="7" t="str">
        <f>IFERROR(__xludf.DUMMYFUNCTION("""COMPUTED_VALUE"""),"Logger replacement, Repair / Cleaning")</f>
        <v>Logger replacement, Repair / Cleaning</v>
      </c>
      <c r="D17" s="7" t="str">
        <f>IFERROR(__xludf.DUMMYFUNCTION("""COMPUTED_VALUE"""),"Changed wiring system. No data since last installation. Logging restarted for 15:00UTC")</f>
        <v>Changed wiring system. No data since last installation. Logging restarted for 15:00UTC</v>
      </c>
    </row>
    <row r="18" ht="15.75" customHeight="1">
      <c r="A18" s="8">
        <f>IFERROR(__xludf.DUMMYFUNCTION("""COMPUTED_VALUE"""),45756.428977662035)</f>
        <v>45756.42898</v>
      </c>
      <c r="B18" s="7" t="str">
        <f>IFERROR(__xludf.DUMMYFUNCTION("""COMPUTED_VALUE"""),"Floreana")</f>
        <v>Floreana</v>
      </c>
      <c r="C18" s="7" t="str">
        <f>IFERROR(__xludf.DUMMYFUNCTION("""COMPUTED_VALUE"""),"Logger replacement")</f>
        <v>Logger replacement</v>
      </c>
      <c r="D18" s="7" t="str">
        <f>IFERROR(__xludf.DUMMYFUNCTION("""COMPUTED_VALUE"""),"Replaced system with simple logger starting at 08:15UTC. Returning system to office for repair and data download ")</f>
        <v>Replaced system with simple logger starting at 08:15UTC. Returning system to office for repair and data download </v>
      </c>
    </row>
    <row r="19" ht="15.75" customHeight="1">
      <c r="A19" s="8">
        <f>IFERROR(__xludf.DUMMYFUNCTION("""COMPUTED_VALUE"""),45757.418752060184)</f>
        <v>45757.41875</v>
      </c>
      <c r="B19" s="7" t="str">
        <f>IFERROR(__xludf.DUMMYFUNCTION("""COMPUTED_VALUE"""),"Floreana")</f>
        <v>Floreana</v>
      </c>
      <c r="C19" s="7" t="str">
        <f>IFERROR(__xludf.DUMMYFUNCTION("""COMPUTED_VALUE"""),"Data download")</f>
        <v>Data download</v>
      </c>
      <c r="D19" s="7" t="str">
        <f>IFERROR(__xludf.DUMMYFUNCTION("""COMPUTED_VALUE"""),"manual data download at office, after battery was found empty in the field. data missing since mid January 2025 and only zeros. Sensor not working?")</f>
        <v>manual data download at office, after battery was found empty in the field. data missing since mid January 2025 and only zeros. Sensor not working?</v>
      </c>
    </row>
    <row r="20" ht="15.75" customHeight="1">
      <c r="A20" s="8">
        <f>IFERROR(__xludf.DUMMYFUNCTION("""COMPUTED_VALUE"""),45831.426713506946)</f>
        <v>45831.42671</v>
      </c>
      <c r="B20" s="7" t="str">
        <f>IFERROR(__xludf.DUMMYFUNCTION("""COMPUTED_VALUE"""),"Floreana")</f>
        <v>Floreana</v>
      </c>
      <c r="C20" s="7" t="str">
        <f>IFERROR(__xludf.DUMMYFUNCTION("""COMPUTED_VALUE"""),"Data download")</f>
        <v>Data download</v>
      </c>
      <c r="D20" s="7" t="str">
        <f>IFERROR(__xludf.DUMMYFUNCTION("""COMPUTED_VALUE"""),"Restarted 08:15UTC")</f>
        <v>Restarted 08:15UTC</v>
      </c>
    </row>
    <row r="21" ht="15.75" customHeight="1">
      <c r="A21" s="8">
        <f>IFERROR(__xludf.DUMMYFUNCTION("""COMPUTED_VALUE"""),45874.40380650463)</f>
        <v>45874.40381</v>
      </c>
      <c r="B21" s="7" t="str">
        <f>IFERROR(__xludf.DUMMYFUNCTION("""COMPUTED_VALUE"""),"Floreana")</f>
        <v>Floreana</v>
      </c>
      <c r="C21" s="7" t="str">
        <f>IFERROR(__xludf.DUMMYFUNCTION("""COMPUTED_VALUE"""),"New installation, Data download, Logger replacement")</f>
        <v>New installation, Data download, Logger replacement</v>
      </c>
      <c r="D21" s="7" t="str">
        <f>IFERROR(__xludf.DUMMYFUNCTION("""COMPUTED_VALUE"""),"LoRa system installed, counter cleared, starting at approx 07:40 UTC")</f>
        <v>LoRa system installed, counter cleared, starting at approx 07:40 UTC</v>
      </c>
    </row>
    <row r="22" ht="15.75" customHeight="1">
      <c r="A22" s="8">
        <f>IFERROR(__xludf.DUMMYFUNCTION("""COMPUTED_VALUE"""),45930.503946261575)</f>
        <v>45930.50395</v>
      </c>
      <c r="B22" s="7" t="str">
        <f>IFERROR(__xludf.DUMMYFUNCTION("""COMPUTED_VALUE"""),"Floreana")</f>
        <v>Floreana</v>
      </c>
      <c r="C22" s="7" t="str">
        <f>IFERROR(__xludf.DUMMYFUNCTION("""COMPUTED_VALUE"""),"stopped logger")</f>
        <v>stopped logger</v>
      </c>
      <c r="D22" s="7" t="str">
        <f>IFERROR(__xludf.DUMMYFUNCTION("""COMPUTED_VALUE"""),"System seems to have a problem. Stopped and returned to office for check")</f>
        <v>System seems to have a problem. Stopped and returned to office for check</v>
      </c>
    </row>
    <row r="23" ht="15.75" customHeight="1">
      <c r="A23" s="8">
        <f>IFERROR(__xludf.DUMMYFUNCTION("""COMPUTED_VALUE"""),45943.406594687505)</f>
        <v>45943.40659</v>
      </c>
      <c r="B23" s="7" t="str">
        <f>IFERROR(__xludf.DUMMYFUNCTION("""COMPUTED_VALUE"""),"Floreana")</f>
        <v>Floreana</v>
      </c>
      <c r="C23" s="7" t="str">
        <f>IFERROR(__xludf.DUMMYFUNCTION("""COMPUTED_VALUE"""),"Logger replacement, Repair / Cleaning")</f>
        <v>Logger replacement, Repair / Cleaning</v>
      </c>
      <c r="D23" s="7" t="str">
        <f>IFERROR(__xludf.DUMMYFUNCTION("""COMPUTED_VALUE"""),"Reinstalled kit with LoRa after rewiring at office. Restarting at 07:30UTC but no network activation yet. Very cloudy day may delay activation. ")</f>
        <v>Reinstalled kit with LoRa after rewiring at office. Restarting at 07:30UTC but no network activation yet. Very cloudy day may delay activation. </v>
      </c>
    </row>
    <row r="24" ht="15.75" customHeight="1">
      <c r="A24" s="8">
        <f>IFERROR(__xludf.DUMMYFUNCTION("""COMPUTED_VALUE"""),45965.38606983796)</f>
        <v>45965.38607</v>
      </c>
      <c r="B24" s="7" t="str">
        <f>IFERROR(__xludf.DUMMYFUNCTION("""COMPUTED_VALUE"""),"Floreana")</f>
        <v>Floreana</v>
      </c>
      <c r="C24" s="7" t="str">
        <f>IFERROR(__xludf.DUMMYFUNCTION("""COMPUTED_VALUE"""),"New installation, restart LoRa system")</f>
        <v>New installation, restart LoRa system</v>
      </c>
      <c r="D24" s="7" t="str">
        <f>IFERROR(__xludf.DUMMYFUNCTION("""COMPUTED_VALUE"""),"placed old system in addition to LoRa system, started logging at 08:15UTC, restarted LoRa system")</f>
        <v>placed old system in addition to LoRa system, started logging at 08:15UTC, restarted LoRa system</v>
      </c>
    </row>
    <row r="25" ht="15.75" customHeight="1">
      <c r="A25" s="13">
        <f>IFERROR(__xludf.DUMMYFUNCTION("""COMPUTED_VALUE"""),46086.553805)</f>
        <v>46086.55381</v>
      </c>
      <c r="B25" s="14" t="str">
        <f>IFERROR(__xludf.DUMMYFUNCTION("""COMPUTED_VALUE"""),"Haris and Charlotte")</f>
        <v>Haris and Charlotte</v>
      </c>
      <c r="C25" s="14" t="str">
        <f>IFERROR(__xludf.DUMMYFUNCTION("""COMPUTED_VALUE"""),"New installation, Data download, Reboot")</f>
        <v>New installation, Data download, Reboot</v>
      </c>
      <c r="D25" s="14" t="str">
        <f>IFERROR(__xludf.DUMMYFUNCTION("""COMPUTED_VALUE"""),"Installed the solar panel and downloaded the data from the manual one and rebooted it")</f>
        <v>Installed the solar panel and downloaded the data from the manual one and rebooted it</v>
      </c>
    </row>
    <row r="26" ht="15.75" customHeight="1">
      <c r="A26" s="13">
        <f>IFERROR(__xludf.DUMMYFUNCTION("""COMPUTED_VALUE"""),46114.474741770835)</f>
        <v>46114.47474</v>
      </c>
      <c r="B26" s="14" t="str">
        <f>IFERROR(__xludf.DUMMYFUNCTION("""COMPUTED_VALUE"""),"Charlotte")</f>
        <v>Charlotte</v>
      </c>
      <c r="C26" s="14" t="str">
        <f>IFERROR(__xludf.DUMMYFUNCTION("""COMPUTED_VALUE"""),"Data download")</f>
        <v>Data download</v>
      </c>
      <c r="D26" s="14" t="str">
        <f>IFERROR(__xludf.DUMMYFUNCTION("""COMPUTED_VALUE"""),"Download data from old system. Restart logging at 13:00 UTC  + 1. Be Careful, it is not UTC but UTC +1 (not swiss summer time). LoRa Pluvimate was tilted. I straightened it up and secured it with gravel. ")</f>
        <v>Download data from old system. Restart logging at 13:00 UTC  + 1. Be Careful, it is not UTC but UTC +1 (not swiss summer time). LoRa Pluvimate was tilted. I straightened it up and secured it with gravel. 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